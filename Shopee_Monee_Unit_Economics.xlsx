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ta" sheetId="2" state="visible" r:id="rId2"/>
    <sheet xmlns:r="http://schemas.openxmlformats.org/officeDocument/2006/relationships" name="Shopee_Metrics" sheetId="3" state="visible" r:id="rId3"/>
    <sheet xmlns:r="http://schemas.openxmlformats.org/officeDocument/2006/relationships" name="Growth_Drivers" sheetId="4" state="visible" r:id="rId4"/>
    <sheet xmlns:r="http://schemas.openxmlformats.org/officeDocument/2006/relationships" name="Monee" sheetId="5" state="visible" r:id="rId5"/>
    <sheet xmlns:r="http://schemas.openxmlformats.org/officeDocument/2006/relationships" name="Target_2026" sheetId="6" state="visible" r:id="rId6"/>
    <sheet xmlns:r="http://schemas.openxmlformats.org/officeDocument/2006/relationships" name="Checks" sheetId="7" state="visible" r:id="rId7"/>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
  </numFmts>
  <fonts count="7">
    <font>
      <name val="Calibri"/>
      <family val="2"/>
      <color theme="1"/>
      <sz val="11"/>
      <scheme val="minor"/>
    </font>
    <font>
      <b val="1"/>
      <color rgb="00EE4D2D"/>
      <sz val="14"/>
    </font>
    <font>
      <b val="1"/>
    </font>
    <font>
      <b val="1"/>
      <color rgb="00FFFFFF"/>
    </font>
    <font>
      <color rgb="000563C1"/>
      <u val="single"/>
    </font>
    <font>
      <i val="1"/>
      <color rgb="00666666"/>
    </font>
    <font/>
  </fonts>
  <fills count="4">
    <fill>
      <patternFill/>
    </fill>
    <fill>
      <patternFill patternType="gray125"/>
    </fill>
    <fill>
      <patternFill patternType="solid">
        <fgColor rgb="00EE4D2D"/>
      </patternFill>
    </fill>
    <fill>
      <patternFill patternType="solid">
        <fgColor rgb="00FFF4CC"/>
      </patternFill>
    </fill>
  </fills>
  <borders count="2">
    <border>
      <left/>
      <right/>
      <top/>
      <bottom/>
      <diagonal/>
    </border>
    <border>
      <bottom style="thin">
        <color rgb="00DDDDDD"/>
      </bottom>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0" fillId="0" borderId="1" pivotButton="0" quotePrefix="0" xfId="0"/>
    <xf numFmtId="0" fontId="4" fillId="0" borderId="1" pivotButton="0" quotePrefix="0" xfId="0"/>
    <xf numFmtId="0" fontId="0" fillId="3" borderId="1" pivotButton="0" quotePrefix="0" xfId="0"/>
    <xf numFmtId="2" fontId="0" fillId="0" borderId="1" pivotButton="0" quotePrefix="0" xfId="0"/>
    <xf numFmtId="164" fontId="0" fillId="0" borderId="1" pivotButton="0" quotePrefix="0" xfId="0"/>
    <xf numFmtId="165" fontId="0" fillId="0" borderId="1" pivotButton="0" quotePrefix="0" xfId="0"/>
    <xf numFmtId="10"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5" fillId="0" borderId="0" pivotButton="0" quotePrefix="0" xfId="0"/>
    <xf numFmtId="49" fontId="0" fillId="0" borderId="1" pivotButton="0" quotePrefix="0" xfId="0"/>
    <xf numFmtId="3" fontId="0" fillId="0" borderId="1" pivotButton="0" quotePrefix="0" xfId="0"/>
    <xf numFmtId="0" fontId="1" fillId="0" borderId="0" pivotButton="0" quotePrefix="0" xfId="0"/>
    <xf numFmtId="0" fontId="2" fillId="0" borderId="0" pivotButton="0" quotePrefix="0" xfId="0"/>
    <xf numFmtId="167" fontId="0" fillId="0" borderId="0" pivotButton="0" quotePrefix="0" xfId="0"/>
    <xf numFmtId="166" fontId="0" fillId="0" borderId="0" pivotButton="0" quotePrefix="0" xfId="0"/>
    <xf numFmtId="164" fontId="0" fillId="0" borderId="0" pivotButton="0" quotePrefix="0" xfId="0"/>
    <xf numFmtId="10" fontId="0" fillId="0" borderId="0" pivotButton="0" quotePrefix="0" xfId="0"/>
    <xf numFmtId="9" fontId="0" fillId="0" borderId="0" pivotButton="0" quotePrefix="0" xfId="0"/>
    <xf numFmtId="0" fontId="3" fillId="2" borderId="0" pivotButton="0" quotePrefix="0" xfId="0"/>
    <xf numFmtId="164" fontId="0" fillId="3" borderId="0" pivotButton="0" quotePrefix="0" xfId="0"/>
    <xf numFmtId="10" fontId="0" fillId="3" borderId="0" pivotButton="0" quotePrefix="0" xfId="0"/>
    <xf numFmtId="0" fontId="6" fillId="0" borderId="0" pivotButton="0" quotePrefix="0" xfId="0"/>
    <xf numFmtId="166" fontId="0" fillId="0" borderId="0" applyAlignment="1" pivotButton="0" quotePrefix="0" xfId="0">
      <alignment horizontal="right"/>
    </xf>
    <xf numFmtId="167" fontId="0" fillId="0" borderId="0" applyAlignment="1" pivotButton="0" quotePrefix="0" xfId="0">
      <alignment horizontal="right"/>
    </xf>
    <xf numFmtId="49" fontId="0" fillId="0" borderId="0" applyAlignment="1" pivotButton="0" quotePrefix="0" xfId="0">
      <alignment horizontal="right"/>
    </xf>
    <xf numFmtId="10" fontId="0" fillId="0" borderId="0" applyAlignment="1" pivotButton="0" quotePrefix="0" xfId="0">
      <alignment horizontal="right"/>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Shopee take rate: fees + ads vs logistics (% GMV)</a:t>
            </a:r>
          </a:p>
        </rich>
      </tx>
    </title>
    <plotArea>
      <lineChart>
        <grouping val="standard"/>
        <varyColors val="0"/>
        <ser>
          <idx val="0"/>
          <order val="0"/>
          <tx>
            <v>Core take rate (fees + ads)</v>
          </tx>
          <spPr>
            <a:ln xmlns:a="http://schemas.openxmlformats.org/drawingml/2006/main">
              <a:solidFill>
                <a:srgbClr val="EE4D2D"/>
              </a:solidFill>
              <a:prstDash val="solid"/>
            </a:ln>
          </spPr>
          <marker>
            <symbol val="none"/>
            <spPr>
              <a:ln xmlns:a="http://schemas.openxmlformats.org/drawingml/2006/main">
                <a:prstDash val="solid"/>
              </a:ln>
            </spPr>
          </marker>
          <cat>
            <numRef>
              <f>'Shopee_Metrics'!$A$16:$A$31</f>
            </numRef>
          </cat>
          <val>
            <numRef>
              <f>'Shopee_Metrics'!$D$16:$D$31</f>
            </numRef>
          </val>
          <smooth val="0"/>
        </ser>
        <ser>
          <idx val="1"/>
          <order val="1"/>
          <tx>
            <v>VAS (logistics) % GMV</v>
          </tx>
          <spPr>
            <a:ln xmlns:a="http://schemas.openxmlformats.org/drawingml/2006/main">
              <a:solidFill>
                <a:srgbClr val="555555"/>
              </a:solidFill>
              <a:prstDash val="solid"/>
            </a:ln>
          </spPr>
          <marker>
            <symbol val="none"/>
            <spPr>
              <a:ln xmlns:a="http://schemas.openxmlformats.org/drawingml/2006/main">
                <a:prstDash val="solid"/>
              </a:ln>
            </spPr>
          </marker>
          <cat>
            <numRef>
              <f>'Shopee_Metrics'!$A$16:$A$31</f>
            </numRef>
          </cat>
          <val>
            <numRef>
              <f>'Shopee_Metrics'!$E$16:$E$31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t"/>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Shopee adjusted EBITDA % GMV</a:t>
            </a:r>
          </a:p>
        </rich>
      </tx>
    </title>
    <plotArea>
      <lineChart>
        <grouping val="standard"/>
        <varyColors val="0"/>
        <ser>
          <idx val="0"/>
          <order val="0"/>
          <tx>
            <v>Adj. EBITDA % GMV</v>
          </tx>
          <spPr>
            <a:ln xmlns:a="http://schemas.openxmlformats.org/drawingml/2006/main">
              <a:solidFill>
                <a:srgbClr val="EE4D2D"/>
              </a:solidFill>
              <a:prstDash val="solid"/>
            </a:ln>
          </spPr>
          <marker>
            <symbol val="none"/>
            <spPr>
              <a:ln xmlns:a="http://schemas.openxmlformats.org/drawingml/2006/main">
                <a:prstDash val="solid"/>
              </a:ln>
            </spPr>
          </marker>
          <cat>
            <numRef>
              <f>'Shopee_Metrics'!$A$2:$A$31</f>
            </numRef>
          </cat>
          <val>
            <numRef>
              <f>'Shopee_Metrics'!$G$2:$G$31</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Monee loans (US$ bn) - measure changes in 2023Q3 and 2023Q4, see Loan basis</a:t>
            </a:r>
          </a:p>
        </rich>
      </tx>
    </title>
    <plotArea>
      <barChart>
        <barDir val="col"/>
        <grouping val="clustered"/>
        <varyColors val="0"/>
        <ser>
          <idx val="0"/>
          <order val="0"/>
          <spPr>
            <a:solidFill xmlns:a="http://schemas.openxmlformats.org/drawingml/2006/main">
              <a:srgbClr val="EE4D2D"/>
            </a:solidFill>
            <a:ln xmlns:a="http://schemas.openxmlformats.org/drawingml/2006/main">
              <a:prstDash val="solid"/>
            </a:ln>
          </spPr>
          <cat>
            <numRef>
              <f>'Monee'!$A$16:$A$31</f>
            </numRef>
          </cat>
          <val>
            <numRef>
              <f>'Monee'!$E$16:$E$31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15</col>
      <colOff>0</colOff>
      <row>1</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19</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12</col>
      <colOff>0</colOff>
      <row>1</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ec.gov/Archives/edgar/data/1703399/000114420419027583/tv522220_ex99-1.htm" TargetMode="External" Id="rId1"/><Relationship Type="http://schemas.openxmlformats.org/officeDocument/2006/relationships/hyperlink" Target="https://www.sec.gov/Archives/edgar/data/1703399/000114420419040829/tv528007_ex99-1.htm" TargetMode="External" Id="rId2"/><Relationship Type="http://schemas.openxmlformats.org/officeDocument/2006/relationships/hyperlink" Target="https://www.sec.gov/Archives/edgar/data/1703399/000110465919062612/tm1922572d1_ex99-1.htm" TargetMode="External" Id="rId3"/><Relationship Type="http://schemas.openxmlformats.org/officeDocument/2006/relationships/hyperlink" Target="https://www.sec.gov/Archives/edgar/data/1703399/000110465920028528/tm2011562d1_ex99-1.htm" TargetMode="External" Id="rId4"/><Relationship Type="http://schemas.openxmlformats.org/officeDocument/2006/relationships/hyperlink" Target="https://www.sec.gov/Archives/edgar/data/1703399/000114036120011859/nt10012039x3_ex99-1.htm" TargetMode="External" Id="rId5"/><Relationship Type="http://schemas.openxmlformats.org/officeDocument/2006/relationships/hyperlink" Target="https://www.sec.gov/Archives/edgar/data/1703399/000110465920096531/tm2028889d1_ex99-1.htm" TargetMode="External" Id="rId6"/><Relationship Type="http://schemas.openxmlformats.org/officeDocument/2006/relationships/hyperlink" Target="https://www.sec.gov/Archives/edgar/data/1703399/000110465920126361/tm2036227d1_ex99-1.htm" TargetMode="External" Id="rId7"/><Relationship Type="http://schemas.openxmlformats.org/officeDocument/2006/relationships/hyperlink" Target="https://www.sec.gov/Archives/edgar/data/1703399/000110465921030723/tm218417d1_ex99-1.htm" TargetMode="External" Id="rId8"/><Relationship Type="http://schemas.openxmlformats.org/officeDocument/2006/relationships/hyperlink" Target="https://www.sec.gov/Archives/edgar/data/1703399/000110465921068821/tm2116820d1_ex99-1.htm" TargetMode="External" Id="rId9"/><Relationship Type="http://schemas.openxmlformats.org/officeDocument/2006/relationships/hyperlink" Target="https://www.sec.gov/Archives/edgar/data/1703399/000110465921107005/tm2125304d1_ex99-1.htm" TargetMode="External" Id="rId10"/><Relationship Type="http://schemas.openxmlformats.org/officeDocument/2006/relationships/hyperlink" Target="https://www.sec.gov/Archives/edgar/data/1703399/000110465921139938/tm2133106d1_ex99-1.htm" TargetMode="External" Id="rId11"/><Relationship Type="http://schemas.openxmlformats.org/officeDocument/2006/relationships/hyperlink" Target="https://www.sec.gov/Archives/edgar/data/1703399/000110465922028659/tm228005d1_ex99-1.htm" TargetMode="External" Id="rId12"/><Relationship Type="http://schemas.openxmlformats.org/officeDocument/2006/relationships/hyperlink" Target="https://www.sec.gov/Archives/edgar/data/1703399/000110465922061936/tm2215818d1_ex99-1.htm" TargetMode="External" Id="rId13"/><Relationship Type="http://schemas.openxmlformats.org/officeDocument/2006/relationships/hyperlink" Target="https://www.sec.gov/Archives/edgar/data/1703399/000110465922091743/tm2223563d1_ex99-1.htm" TargetMode="External" Id="rId14"/><Relationship Type="http://schemas.openxmlformats.org/officeDocument/2006/relationships/hyperlink" Target="https://www.sec.gov/Archives/edgar/data/1703399/000110465922119122/tm2230567d1_ex99-1.htm" TargetMode="External" Id="rId15"/><Relationship Type="http://schemas.openxmlformats.org/officeDocument/2006/relationships/hyperlink" Target="https://www.sec.gov/Archives/edgar/data/1703399/000110465923029545/tm238717d1_ex99-1.htm" TargetMode="External" Id="rId16"/><Relationship Type="http://schemas.openxmlformats.org/officeDocument/2006/relationships/hyperlink" Target="https://www.sec.gov/Archives/edgar/data/1703399/000110465923061370/tm2315921d1_ex99-1.htm" TargetMode="External" Id="rId17"/><Relationship Type="http://schemas.openxmlformats.org/officeDocument/2006/relationships/hyperlink" Target="https://www.sec.gov/Archives/edgar/data/1703399/000110465923091949/tm2323800d1_ex99-1.htm" TargetMode="External" Id="rId18"/><Relationship Type="http://schemas.openxmlformats.org/officeDocument/2006/relationships/hyperlink" Target="https://www.sec.gov/Archives/edgar/data/1703399/000110465923118070/tm2330670d1_ex99-1.htm" TargetMode="External" Id="rId19"/><Relationship Type="http://schemas.openxmlformats.org/officeDocument/2006/relationships/hyperlink" Target="https://www.sec.gov/Archives/edgar/data/1703399/000110465924030484/tm247857d1_ex99-1.htm" TargetMode="External" Id="rId20"/><Relationship Type="http://schemas.openxmlformats.org/officeDocument/2006/relationships/hyperlink" Target="https://www.sec.gov/Archives/edgar/data/1703399/000119312524138204/d838689dex991.htm" TargetMode="External" Id="rId21"/><Relationship Type="http://schemas.openxmlformats.org/officeDocument/2006/relationships/hyperlink" Target="https://www.sec.gov/Archives/edgar/data/1703399/000110465924088947/tm2421549d1_ex99-1.htm" TargetMode="External" Id="rId22"/><Relationship Type="http://schemas.openxmlformats.org/officeDocument/2006/relationships/hyperlink" Target="https://www.sec.gov/Archives/edgar/data/1703399/000110465924116768/tm2428140d1_ex99-1.htm" TargetMode="External" Id="rId23"/><Relationship Type="http://schemas.openxmlformats.org/officeDocument/2006/relationships/hyperlink" Target="https://www.sec.gov/Archives/edgar/data/1703399/000119312525045576/d930776dex991.htm" TargetMode="External" Id="rId24"/><Relationship Type="http://schemas.openxmlformats.org/officeDocument/2006/relationships/hyperlink" Target="https://www.sec.gov/Archives/edgar/data/1703399/000119312525118807/d80392dex991.htm" TargetMode="External" Id="rId25"/><Relationship Type="http://schemas.openxmlformats.org/officeDocument/2006/relationships/hyperlink" Target="https://www.sec.gov/Archives/edgar/data/1703399/000119312525178935/d411448dex991.htm" TargetMode="External" Id="rId26"/><Relationship Type="http://schemas.openxmlformats.org/officeDocument/2006/relationships/hyperlink" Target="https://www.sec.gov/Archives/edgar/data/1703399/000119312525275616/d75589dex991.htm" TargetMode="External" Id="rId27"/><Relationship Type="http://schemas.openxmlformats.org/officeDocument/2006/relationships/hyperlink" Target="https://www.sec.gov/Archives/edgar/data/1703399/000119312526088151/d106475dex991.htm" TargetMode="External" Id="rId28"/><Relationship Type="http://schemas.openxmlformats.org/officeDocument/2006/relationships/hyperlink" Target="https://www.sec.gov/Archives/edgar/data/1703399/000119312526219378/d78490dex991.htm" TargetMode="External" Id="rId29"/><Relationship Type="http://schemas.openxmlformats.org/officeDocument/2006/relationships/hyperlink" Target="https://www.sec.gov/Archives/edgar/data/1703399/000119312526344596/d120948dex991.htm" TargetMode="External" Id="rId30"/></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20" customWidth="1" min="1" max="1"/>
  </cols>
  <sheetData>
    <row r="1">
      <c r="A1" s="1" t="inlineStr">
        <is>
          <t>Shopee &amp; Monee unit economics, Q1 2019 - Q2 2026</t>
        </is>
      </c>
    </row>
    <row r="2">
      <c r="A2" s="2" t="inlineStr">
        <is>
          <t>Source: Sea Limited (NYSE: SE) quarterly earnings releases (Form 6-K, exhibit 99.1) on SEC EDGAR. Each Data row links to its filing.</t>
        </is>
      </c>
    </row>
    <row r="3">
      <c r="A3" s="2" t="inlineStr">
        <is>
          <t>Question: is Shopee's growth becoming more profitable, is Monee's fast loan growth staying healthy, and is the 'US$1 billion Shopee adjusted EBITDA in FY2026' expectation realistic?</t>
        </is>
      </c>
    </row>
    <row r="4">
      <c r="A4" s="2" t="inlineStr"/>
    </row>
    <row r="5">
      <c r="A5" s="3" t="inlineStr">
        <is>
          <t>How to read this file</t>
        </is>
      </c>
    </row>
    <row r="6">
      <c r="A6" s="2" t="inlineStr">
        <is>
          <t>- Yellow cells on Target_2026 are assumptions you can change. Everything else is a formula or a reported number.</t>
        </is>
      </c>
    </row>
    <row r="7">
      <c r="A7" s="2" t="inlineStr">
        <is>
          <t>- Money in US$ millions unless the column says bn. Take rates and margins are % of GMV unless stated otherwise.</t>
        </is>
      </c>
    </row>
    <row r="8">
      <c r="A8" s="2" t="inlineStr"/>
    </row>
    <row r="9">
      <c r="A9" s="3" t="inlineStr">
        <is>
          <t>Definitions</t>
        </is>
      </c>
    </row>
    <row r="10">
      <c r="A10" s="2" t="inlineStr">
        <is>
          <t>- GMV: value of goods sold on Shopee. Gross orders: number of orders. Average order value (AOV) = GMV / gross orders.</t>
        </is>
      </c>
    </row>
    <row r="11">
      <c r="A11" s="2" t="inlineStr">
        <is>
          <t>- Marketplace revenue = core marketplace revenue (transaction fees + advertising) + value-added services (mainly logistics). Shopee's own product sales are excluded.</t>
        </is>
      </c>
    </row>
    <row r="12">
      <c r="A12" s="2" t="inlineStr">
        <is>
          <t>- Take rate = revenue / GMV. Core take rate uses core marketplace revenue only (reported since Q3 2022).</t>
        </is>
      </c>
    </row>
    <row r="13">
      <c r="A13" s="2" t="inlineStr">
        <is>
          <t>- Adjusted EBITDA (Sea's segment measure) = operating income + depreciation &amp; amortization. Share-based compensation is unallocated, not in Shopee's figure.</t>
        </is>
      </c>
    </row>
    <row r="14">
      <c r="A14" s="2" t="inlineStr"/>
    </row>
    <row r="15">
      <c r="A15" s="3" t="inlineStr">
        <is>
          <t>Data notes and limits</t>
        </is>
      </c>
    </row>
    <row r="16">
      <c r="A16" s="2" t="inlineStr">
        <is>
          <t>- Sea prints most bullet figures rounded (e.g. GMV to US$0.1 bn); adjusted EBITDA comes from exact tables (US$ thousands). Ratios inherit that rounding.</t>
        </is>
      </c>
    </row>
    <row r="17">
      <c r="A17" s="2" t="inlineStr">
        <is>
          <t>- Q1 and Q2 2023: Sea did not report GMV or gross orders. They are derived from the YoY growth Sea reported for Q1/Q2 2024 and flagged; the FY2023 totals confirm them (within 0.7%).</t>
        </is>
      </c>
    </row>
    <row r="18">
      <c r="A18" s="2" t="inlineStr">
        <is>
          <t>- Q1 and Q2 2020 adjusted EBITDA were later restated by Sea by a few million; this file keeps first-reported values (see Checks).</t>
        </is>
      </c>
    </row>
    <row r="19">
      <c r="A19" s="2" t="inlineStr">
        <is>
          <t>- Monee's loan measure changed: net on-book receivables (to Q2 2023), gross on-book receivables (Q3 2023), principal outstanding incl. off-book (from Q4 2023). Growth rates are only computed within one basis.</t>
        </is>
      </c>
    </row>
    <row r="20">
      <c r="A20" s="2" t="inlineStr">
        <is>
          <t>- Before Q3 2023, Sea gave the 90-day NPL ratio only as bounds ('less than 4%', 'around 2%'). The drop to 'less than 2%' in Q4 2022 was mainly from shortening the write-off period from 180 to 120 days; Sea said it would be about 5% without that change.</t>
        </is>
      </c>
    </row>
    <row r="21">
      <c r="A21" s="2" t="inlineStr">
        <is>
          <t>- From Q3 2026 Sea excludes deferred-revenue effects from adjusted EBITDA. The Q2 2026 reconciliation shows this effect is zero for Shopee (it is Garena only), so the FY2026 test is not affected.</t>
        </is>
      </c>
    </row>
    <row r="22">
      <c r="A22" s="2" t="inlineStr">
        <is>
          <t>- No country split: Sea does not report Shopee Indonesia separately.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20" customWidth="1" min="4" max="4"/>
    <col width="14" customWidth="1" min="5" max="5"/>
    <col width="2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34" customWidth="1" min="17" max="17"/>
    <col width="14" customWidth="1" min="18" max="18"/>
    <col width="14" customWidth="1" min="19" max="19"/>
    <col width="18" customWidth="1" min="20" max="20"/>
  </cols>
  <sheetData>
    <row r="1" ht="42" customHeight="1">
      <c r="A1" s="4" t="inlineStr">
        <is>
          <t>Period</t>
        </is>
      </c>
      <c r="B1" s="4" t="inlineStr">
        <is>
          <t>Release date</t>
        </is>
      </c>
      <c r="C1" s="4" t="inlineStr">
        <is>
          <t>GMV (US$ bn)</t>
        </is>
      </c>
      <c r="D1" s="4" t="inlineStr">
        <is>
          <t>GMV source</t>
        </is>
      </c>
      <c r="E1" s="4" t="inlineStr">
        <is>
          <t>Gross orders (bn)</t>
        </is>
      </c>
      <c r="F1" s="4" t="inlineStr">
        <is>
          <t>Orders source</t>
        </is>
      </c>
      <c r="G1" s="4" t="inlineStr">
        <is>
          <t>GMV YoY reported %</t>
        </is>
      </c>
      <c r="H1" s="4" t="inlineStr">
        <is>
          <t>Orders YoY reported %</t>
        </is>
      </c>
      <c r="I1" s="4" t="inlineStr">
        <is>
          <t>Shopee revenue (US$ m)</t>
        </is>
      </c>
      <c r="J1" s="4" t="inlineStr">
        <is>
          <t>Marketplace revenue (US$ m)</t>
        </is>
      </c>
      <c r="K1" s="4" t="inlineStr">
        <is>
          <t>Core marketplace revenue (US$ m)</t>
        </is>
      </c>
      <c r="L1" s="4" t="inlineStr">
        <is>
          <t>Value-added services revenue (US$ m)</t>
        </is>
      </c>
      <c r="M1" s="4" t="inlineStr">
        <is>
          <t>Shopee adj. EBITDA (US$ m)</t>
        </is>
      </c>
      <c r="N1" s="4" t="inlineStr">
        <is>
          <t>Monee revenue (US$ m)</t>
        </is>
      </c>
      <c r="O1" s="4" t="inlineStr">
        <is>
          <t>Monee adj. EBITDA (US$ m)</t>
        </is>
      </c>
      <c r="P1" s="4" t="inlineStr">
        <is>
          <t>Monee loans (US$ bn)</t>
        </is>
      </c>
      <c r="Q1" s="4" t="inlineStr">
        <is>
          <t>Loan basis</t>
        </is>
      </c>
      <c r="R1" s="4" t="inlineStr">
        <is>
          <t>NPL 90+ days %</t>
        </is>
      </c>
      <c r="S1" s="4" t="inlineStr">
        <is>
          <t>NPL as reported (bounds)</t>
        </is>
      </c>
      <c r="T1" s="4" t="inlineStr">
        <is>
          <t>Source filing</t>
        </is>
      </c>
    </row>
    <row r="2">
      <c r="A2" s="5" t="inlineStr">
        <is>
          <t>2019Q1</t>
        </is>
      </c>
      <c r="B2" s="5" t="inlineStr">
        <is>
          <t>2019-05-22</t>
        </is>
      </c>
      <c r="C2" s="5" t="n">
        <v>3.5</v>
      </c>
      <c r="D2" s="5" t="inlineStr">
        <is>
          <t>reported</t>
        </is>
      </c>
      <c r="E2" s="5" t="n">
        <v>0.2035</v>
      </c>
      <c r="F2" s="5" t="inlineStr">
        <is>
          <t>reported</t>
        </is>
      </c>
      <c r="G2" s="5" t="n">
        <v>81.8</v>
      </c>
      <c r="H2" s="5" t="n">
        <v>82.7</v>
      </c>
      <c r="I2" s="5" t="n">
        <v>149.2</v>
      </c>
      <c r="J2" s="5" t="n">
        <v>102</v>
      </c>
      <c r="K2" s="5" t="n"/>
      <c r="L2" s="5" t="n"/>
      <c r="M2" s="5" t="n">
        <v>-235.253</v>
      </c>
      <c r="N2" s="5" t="n"/>
      <c r="O2" s="5" t="n">
        <v>-11.912</v>
      </c>
      <c r="P2" s="5" t="n"/>
      <c r="Q2" s="5" t="n"/>
      <c r="R2" s="5" t="n"/>
      <c r="S2" s="5" t="n"/>
      <c r="T2" s="6" t="inlineStr">
        <is>
          <t>6-K ex.99.1</t>
        </is>
      </c>
    </row>
    <row r="3">
      <c r="A3" s="5" t="inlineStr">
        <is>
          <t>2019Q2</t>
        </is>
      </c>
      <c r="B3" s="5" t="inlineStr">
        <is>
          <t>2019-08-20</t>
        </is>
      </c>
      <c r="C3" s="5" t="n">
        <v>3.8</v>
      </c>
      <c r="D3" s="5" t="inlineStr">
        <is>
          <t>reported</t>
        </is>
      </c>
      <c r="E3" s="5" t="n">
        <v>0.2463</v>
      </c>
      <c r="F3" s="5" t="inlineStr">
        <is>
          <t>reported</t>
        </is>
      </c>
      <c r="G3" s="5" t="n">
        <v>72.3</v>
      </c>
      <c r="H3" s="5" t="n">
        <v>92.7</v>
      </c>
      <c r="I3" s="5" t="n">
        <v>177.4</v>
      </c>
      <c r="J3" s="5" t="n">
        <v>137.8</v>
      </c>
      <c r="K3" s="5" t="n"/>
      <c r="L3" s="5" t="n"/>
      <c r="M3" s="5" t="n">
        <v>-248.251</v>
      </c>
      <c r="N3" s="5" t="n"/>
      <c r="O3" s="5" t="n">
        <v>-18.144</v>
      </c>
      <c r="P3" s="5" t="n"/>
      <c r="Q3" s="5" t="n"/>
      <c r="R3" s="5" t="n"/>
      <c r="S3" s="5" t="n"/>
      <c r="T3" s="6" t="inlineStr">
        <is>
          <t>6-K ex.99.1</t>
        </is>
      </c>
    </row>
    <row r="4">
      <c r="A4" s="5" t="inlineStr">
        <is>
          <t>2019Q3</t>
        </is>
      </c>
      <c r="B4" s="5" t="inlineStr">
        <is>
          <t>2019-11-12</t>
        </is>
      </c>
      <c r="C4" s="5" t="n">
        <v>4.6</v>
      </c>
      <c r="D4" s="5" t="inlineStr">
        <is>
          <t>reported</t>
        </is>
      </c>
      <c r="E4" s="5" t="n">
        <v>0.3213999999999999</v>
      </c>
      <c r="F4" s="5" t="inlineStr">
        <is>
          <t>reported</t>
        </is>
      </c>
      <c r="G4" s="5" t="n">
        <v>69.90000000000001</v>
      </c>
      <c r="H4" s="5" t="n">
        <v>102.8</v>
      </c>
      <c r="I4" s="5" t="n">
        <v>257.2</v>
      </c>
      <c r="J4" s="5" t="n">
        <v>208.1</v>
      </c>
      <c r="K4" s="5" t="n"/>
      <c r="L4" s="5" t="n"/>
      <c r="M4" s="5" t="n">
        <v>-253.712</v>
      </c>
      <c r="N4" s="5" t="n"/>
      <c r="O4" s="5" t="n">
        <v>-33.628</v>
      </c>
      <c r="P4" s="5" t="n"/>
      <c r="Q4" s="5" t="n"/>
      <c r="R4" s="5" t="n"/>
      <c r="S4" s="5" t="n"/>
      <c r="T4" s="6" t="inlineStr">
        <is>
          <t>6-K ex.99.1</t>
        </is>
      </c>
    </row>
    <row r="5">
      <c r="A5" s="5" t="inlineStr">
        <is>
          <t>2019Q4</t>
        </is>
      </c>
      <c r="B5" s="5" t="inlineStr">
        <is>
          <t>2020-03-03</t>
        </is>
      </c>
      <c r="C5" s="5" t="n">
        <v>5.6</v>
      </c>
      <c r="D5" s="5" t="inlineStr">
        <is>
          <t>reported</t>
        </is>
      </c>
      <c r="E5" s="5" t="n">
        <v>0.4405</v>
      </c>
      <c r="F5" s="5" t="inlineStr">
        <is>
          <t>reported</t>
        </is>
      </c>
      <c r="G5" s="5" t="n">
        <v>64.8</v>
      </c>
      <c r="H5" s="5" t="n">
        <v>112.9</v>
      </c>
      <c r="I5" s="5" t="n">
        <v>358.3</v>
      </c>
      <c r="J5" s="5" t="n">
        <v>283.5</v>
      </c>
      <c r="K5" s="5" t="n"/>
      <c r="L5" s="5" t="n"/>
      <c r="M5" s="5" t="n">
        <v>-306.15</v>
      </c>
      <c r="N5" s="5" t="n"/>
      <c r="O5" s="5" t="n">
        <v>-49.761</v>
      </c>
      <c r="P5" s="5" t="n"/>
      <c r="Q5" s="5" t="n"/>
      <c r="R5" s="5" t="n"/>
      <c r="S5" s="5" t="n"/>
      <c r="T5" s="6" t="inlineStr">
        <is>
          <t>6-K ex.99.1</t>
        </is>
      </c>
    </row>
    <row r="6">
      <c r="A6" s="5" t="inlineStr">
        <is>
          <t>2020Q1</t>
        </is>
      </c>
      <c r="B6" s="5" t="inlineStr">
        <is>
          <t>2020-05-18</t>
        </is>
      </c>
      <c r="C6" s="5" t="n">
        <v>6.2</v>
      </c>
      <c r="D6" s="5" t="inlineStr">
        <is>
          <t>reported</t>
        </is>
      </c>
      <c r="E6" s="5" t="n">
        <v>0.4298</v>
      </c>
      <c r="F6" s="5" t="inlineStr">
        <is>
          <t>reported</t>
        </is>
      </c>
      <c r="G6" s="5" t="n">
        <v>74.3</v>
      </c>
      <c r="H6" s="5" t="n">
        <v>111.2</v>
      </c>
      <c r="I6" s="5" t="n">
        <v>314</v>
      </c>
      <c r="J6" s="5" t="n">
        <v>236.7</v>
      </c>
      <c r="K6" s="5" t="n"/>
      <c r="L6" s="5" t="n"/>
      <c r="M6" s="5" t="n">
        <v>-260.019</v>
      </c>
      <c r="N6" s="5" t="n"/>
      <c r="O6" s="5" t="n">
        <v>-101.583</v>
      </c>
      <c r="P6" s="5" t="n"/>
      <c r="Q6" s="5" t="n"/>
      <c r="R6" s="5" t="n"/>
      <c r="S6" s="5" t="n"/>
      <c r="T6" s="6" t="inlineStr">
        <is>
          <t>6-K ex.99.1</t>
        </is>
      </c>
    </row>
    <row r="7">
      <c r="A7" s="5" t="inlineStr">
        <is>
          <t>2020Q2</t>
        </is>
      </c>
      <c r="B7" s="5" t="inlineStr">
        <is>
          <t>2020-08-18</t>
        </is>
      </c>
      <c r="C7" s="5" t="n">
        <v>8</v>
      </c>
      <c r="D7" s="5" t="inlineStr">
        <is>
          <t>reported</t>
        </is>
      </c>
      <c r="E7" s="5" t="n">
        <v>0.6159</v>
      </c>
      <c r="F7" s="5" t="inlineStr">
        <is>
          <t>reported</t>
        </is>
      </c>
      <c r="G7" s="5" t="n">
        <v>109.9</v>
      </c>
      <c r="H7" s="5" t="n">
        <v>150.1</v>
      </c>
      <c r="I7" s="5" t="n">
        <v>510.6</v>
      </c>
      <c r="J7" s="5" t="n">
        <v>378.7</v>
      </c>
      <c r="K7" s="5" t="n"/>
      <c r="L7" s="5" t="n"/>
      <c r="M7" s="5" t="n">
        <v>-305.477</v>
      </c>
      <c r="N7" s="5" t="n"/>
      <c r="O7" s="5" t="n">
        <v>-110.105</v>
      </c>
      <c r="P7" s="5" t="n"/>
      <c r="Q7" s="5" t="n"/>
      <c r="R7" s="5" t="n"/>
      <c r="S7" s="5" t="n"/>
      <c r="T7" s="6" t="inlineStr">
        <is>
          <t>6-K ex.99.1</t>
        </is>
      </c>
    </row>
    <row r="8">
      <c r="A8" s="5" t="inlineStr">
        <is>
          <t>2020Q3</t>
        </is>
      </c>
      <c r="B8" s="5" t="inlineStr">
        <is>
          <t>2020-11-17</t>
        </is>
      </c>
      <c r="C8" s="5" t="n">
        <v>9.300000000000001</v>
      </c>
      <c r="D8" s="5" t="inlineStr">
        <is>
          <t>reported</t>
        </is>
      </c>
      <c r="E8" s="5" t="n">
        <v>0.7416</v>
      </c>
      <c r="F8" s="5" t="inlineStr">
        <is>
          <t>reported</t>
        </is>
      </c>
      <c r="G8" s="5" t="n">
        <v>102.7</v>
      </c>
      <c r="H8" s="5" t="n">
        <v>130.7</v>
      </c>
      <c r="I8" s="5" t="n">
        <v>618.7</v>
      </c>
      <c r="J8" s="5" t="n">
        <v>467.1</v>
      </c>
      <c r="K8" s="5" t="n"/>
      <c r="L8" s="5" t="n"/>
      <c r="M8" s="5" t="n">
        <v>-301.59</v>
      </c>
      <c r="N8" s="5" t="n"/>
      <c r="O8" s="5" t="n">
        <v>-149.263</v>
      </c>
      <c r="P8" s="5" t="n"/>
      <c r="Q8" s="5" t="n"/>
      <c r="R8" s="5" t="n"/>
      <c r="S8" s="5" t="n"/>
      <c r="T8" s="6" t="inlineStr">
        <is>
          <t>6-K ex.99.1</t>
        </is>
      </c>
    </row>
    <row r="9">
      <c r="A9" s="5" t="inlineStr">
        <is>
          <t>2020Q4</t>
        </is>
      </c>
      <c r="B9" s="5" t="inlineStr">
        <is>
          <t>2021-03-02</t>
        </is>
      </c>
      <c r="C9" s="5" t="n">
        <v>11.9</v>
      </c>
      <c r="D9" s="5" t="inlineStr">
        <is>
          <t>reported</t>
        </is>
      </c>
      <c r="E9" s="5" t="n">
        <v>1</v>
      </c>
      <c r="F9" s="5" t="inlineStr">
        <is>
          <t>reported</t>
        </is>
      </c>
      <c r="G9" s="5" t="n">
        <v>112.5</v>
      </c>
      <c r="H9" s="5" t="n">
        <v>134.6</v>
      </c>
      <c r="I9" s="5" t="n">
        <v>842.2</v>
      </c>
      <c r="J9" s="5" t="n">
        <v>627.6</v>
      </c>
      <c r="K9" s="5" t="n"/>
      <c r="L9" s="5" t="n"/>
      <c r="M9" s="5" t="n">
        <v>-427.474</v>
      </c>
      <c r="N9" s="5" t="n"/>
      <c r="O9" s="5" t="n">
        <v>-171.263</v>
      </c>
      <c r="P9" s="5" t="n"/>
      <c r="Q9" s="5" t="n"/>
      <c r="R9" s="5" t="n"/>
      <c r="S9" s="5" t="n"/>
      <c r="T9" s="6" t="inlineStr">
        <is>
          <t>6-K ex.99.1</t>
        </is>
      </c>
    </row>
    <row r="10">
      <c r="A10" s="5" t="inlineStr">
        <is>
          <t>2021Q1</t>
        </is>
      </c>
      <c r="B10" s="5" t="inlineStr">
        <is>
          <t>2021-05-18</t>
        </is>
      </c>
      <c r="C10" s="5" t="n">
        <v>12.6</v>
      </c>
      <c r="D10" s="5" t="inlineStr">
        <is>
          <t>reported</t>
        </is>
      </c>
      <c r="E10" s="5" t="n">
        <v>1.1</v>
      </c>
      <c r="F10" s="5" t="inlineStr">
        <is>
          <t>reported</t>
        </is>
      </c>
      <c r="G10" s="5" t="n">
        <v>103.2</v>
      </c>
      <c r="H10" s="5" t="n">
        <v>153</v>
      </c>
      <c r="I10" s="5" t="n">
        <v>922.3</v>
      </c>
      <c r="J10" s="5" t="n">
        <v>715.9</v>
      </c>
      <c r="K10" s="5" t="n"/>
      <c r="L10" s="5" t="n"/>
      <c r="M10" s="5" t="n">
        <v>-412.897</v>
      </c>
      <c r="N10" s="5" t="n"/>
      <c r="O10" s="5" t="n">
        <v>-153.088</v>
      </c>
      <c r="P10" s="5" t="n"/>
      <c r="Q10" s="5" t="n"/>
      <c r="R10" s="5" t="n"/>
      <c r="S10" s="5" t="n"/>
      <c r="T10" s="6" t="inlineStr">
        <is>
          <t>6-K ex.99.1</t>
        </is>
      </c>
    </row>
    <row r="11">
      <c r="A11" s="5" t="inlineStr">
        <is>
          <t>2021Q2</t>
        </is>
      </c>
      <c r="B11" s="5" t="inlineStr">
        <is>
          <t>2021-08-17</t>
        </is>
      </c>
      <c r="C11" s="5" t="n">
        <v>15</v>
      </c>
      <c r="D11" s="5" t="inlineStr">
        <is>
          <t>reported</t>
        </is>
      </c>
      <c r="E11" s="5" t="n">
        <v>1.4</v>
      </c>
      <c r="F11" s="5" t="inlineStr">
        <is>
          <t>reported</t>
        </is>
      </c>
      <c r="G11" s="5" t="n">
        <v>87.5</v>
      </c>
      <c r="H11" s="5" t="n">
        <v>127.4</v>
      </c>
      <c r="I11" s="5" t="n">
        <v>1200</v>
      </c>
      <c r="J11" s="5" t="n">
        <v>904.6</v>
      </c>
      <c r="K11" s="5" t="n"/>
      <c r="L11" s="5" t="n"/>
      <c r="M11" s="5" t="n">
        <v>-579.774</v>
      </c>
      <c r="N11" s="5" t="n"/>
      <c r="O11" s="5" t="n">
        <v>-154.986</v>
      </c>
      <c r="P11" s="5" t="n"/>
      <c r="Q11" s="5" t="n"/>
      <c r="R11" s="5" t="n"/>
      <c r="S11" s="5" t="n"/>
      <c r="T11" s="6" t="inlineStr">
        <is>
          <t>6-K ex.99.1</t>
        </is>
      </c>
    </row>
    <row r="12">
      <c r="A12" s="5" t="inlineStr">
        <is>
          <t>2021Q3</t>
        </is>
      </c>
      <c r="B12" s="5" t="inlineStr">
        <is>
          <t>2021-11-16</t>
        </is>
      </c>
      <c r="C12" s="5" t="n">
        <v>16.8</v>
      </c>
      <c r="D12" s="5" t="inlineStr">
        <is>
          <t>reported</t>
        </is>
      </c>
      <c r="E12" s="5" t="n">
        <v>1.7</v>
      </c>
      <c r="F12" s="5" t="inlineStr">
        <is>
          <t>reported</t>
        </is>
      </c>
      <c r="G12" s="5" t="n">
        <v>80.59999999999999</v>
      </c>
      <c r="H12" s="5" t="n">
        <v>123.2</v>
      </c>
      <c r="I12" s="5" t="n">
        <v>1500</v>
      </c>
      <c r="J12" s="5" t="n">
        <v>1200</v>
      </c>
      <c r="K12" s="5" t="n"/>
      <c r="L12" s="5" t="n"/>
      <c r="M12" s="5" t="n">
        <v>-683.813</v>
      </c>
      <c r="N12" s="5" t="n"/>
      <c r="O12" s="5" t="n">
        <v>-159.037</v>
      </c>
      <c r="P12" s="5" t="n"/>
      <c r="Q12" s="5" t="n"/>
      <c r="R12" s="5" t="n"/>
      <c r="S12" s="5" t="n"/>
      <c r="T12" s="6" t="inlineStr">
        <is>
          <t>6-K ex.99.1</t>
        </is>
      </c>
    </row>
    <row r="13">
      <c r="A13" s="5" t="inlineStr">
        <is>
          <t>2021Q4</t>
        </is>
      </c>
      <c r="B13" s="5" t="inlineStr">
        <is>
          <t>2022-03-01</t>
        </is>
      </c>
      <c r="C13" s="5" t="n">
        <v>18.2</v>
      </c>
      <c r="D13" s="5" t="inlineStr">
        <is>
          <t>reported</t>
        </is>
      </c>
      <c r="E13" s="5" t="n">
        <v>2</v>
      </c>
      <c r="F13" s="5" t="inlineStr">
        <is>
          <t>reported</t>
        </is>
      </c>
      <c r="G13" s="5" t="n">
        <v>52.7</v>
      </c>
      <c r="H13" s="5" t="n">
        <v>90.09999999999999</v>
      </c>
      <c r="I13" s="5" t="n">
        <v>1600</v>
      </c>
      <c r="J13" s="5" t="n">
        <v>1300</v>
      </c>
      <c r="K13" s="5" t="n"/>
      <c r="L13" s="5" t="n"/>
      <c r="M13" s="5" t="n">
        <v>-877.737</v>
      </c>
      <c r="N13" s="5" t="n">
        <v>197.5</v>
      </c>
      <c r="O13" s="5" t="n">
        <v>-149.813</v>
      </c>
      <c r="P13" s="5" t="n"/>
      <c r="Q13" s="5" t="n"/>
      <c r="R13" s="5" t="n"/>
      <c r="S13" s="5" t="n"/>
      <c r="T13" s="6" t="inlineStr">
        <is>
          <t>6-K ex.99.1</t>
        </is>
      </c>
    </row>
    <row r="14">
      <c r="A14" s="5" t="inlineStr">
        <is>
          <t>2022Q1</t>
        </is>
      </c>
      <c r="B14" s="5" t="inlineStr">
        <is>
          <t>2022-05-17</t>
        </is>
      </c>
      <c r="C14" s="5" t="n">
        <v>17.4</v>
      </c>
      <c r="D14" s="5" t="inlineStr">
        <is>
          <t>reported</t>
        </is>
      </c>
      <c r="E14" s="5" t="n">
        <v>1.9</v>
      </c>
      <c r="F14" s="5" t="inlineStr">
        <is>
          <t>reported</t>
        </is>
      </c>
      <c r="G14" s="5" t="n">
        <v>38.7</v>
      </c>
      <c r="H14" s="5" t="n">
        <v>71.3</v>
      </c>
      <c r="I14" s="5" t="n">
        <v>1500</v>
      </c>
      <c r="J14" s="5" t="n">
        <v>1300</v>
      </c>
      <c r="K14" s="5" t="n"/>
      <c r="L14" s="5" t="n"/>
      <c r="M14" s="5" t="n">
        <v>-742.8200000000001</v>
      </c>
      <c r="N14" s="5" t="n">
        <v>236</v>
      </c>
      <c r="O14" s="5" t="n">
        <v>-124.898</v>
      </c>
      <c r="P14" s="5" t="n"/>
      <c r="Q14" s="5" t="n"/>
      <c r="R14" s="5" t="n"/>
      <c r="S14" s="5" t="n"/>
      <c r="T14" s="6" t="inlineStr">
        <is>
          <t>6-K ex.99.1</t>
        </is>
      </c>
    </row>
    <row r="15">
      <c r="A15" s="5" t="inlineStr">
        <is>
          <t>2022Q2</t>
        </is>
      </c>
      <c r="B15" s="5" t="inlineStr">
        <is>
          <t>2022-08-16</t>
        </is>
      </c>
      <c r="C15" s="5" t="n">
        <v>19</v>
      </c>
      <c r="D15" s="5" t="inlineStr">
        <is>
          <t>reported</t>
        </is>
      </c>
      <c r="E15" s="5" t="n">
        <v>2</v>
      </c>
      <c r="F15" s="5" t="inlineStr">
        <is>
          <t>reported</t>
        </is>
      </c>
      <c r="G15" s="5" t="n">
        <v>27.2</v>
      </c>
      <c r="H15" s="5" t="n">
        <v>41.6</v>
      </c>
      <c r="I15" s="5" t="n">
        <v>1700</v>
      </c>
      <c r="J15" s="5" t="n">
        <v>1500</v>
      </c>
      <c r="K15" s="5" t="n"/>
      <c r="L15" s="5" t="n"/>
      <c r="M15" s="5" t="n">
        <v>-648.145</v>
      </c>
      <c r="N15" s="5" t="n">
        <v>279</v>
      </c>
      <c r="O15" s="5" t="n">
        <v>-111.517</v>
      </c>
      <c r="P15" s="5" t="n"/>
      <c r="Q15" s="5" t="n"/>
      <c r="R15" s="5" t="n"/>
      <c r="S15" s="5" t="n"/>
      <c r="T15" s="6" t="inlineStr">
        <is>
          <t>6-K ex.99.1</t>
        </is>
      </c>
    </row>
    <row r="16">
      <c r="A16" s="5" t="inlineStr">
        <is>
          <t>2022Q3</t>
        </is>
      </c>
      <c r="B16" s="5" t="inlineStr">
        <is>
          <t>2022-11-15</t>
        </is>
      </c>
      <c r="C16" s="5" t="n">
        <v>19.1</v>
      </c>
      <c r="D16" s="5" t="inlineStr">
        <is>
          <t>reported</t>
        </is>
      </c>
      <c r="E16" s="5" t="n">
        <v>2</v>
      </c>
      <c r="F16" s="5" t="inlineStr">
        <is>
          <t>reported</t>
        </is>
      </c>
      <c r="G16" s="5" t="n">
        <v>13.5</v>
      </c>
      <c r="H16" s="5" t="n">
        <v>19.2</v>
      </c>
      <c r="I16" s="5" t="n">
        <v>1900</v>
      </c>
      <c r="J16" s="5" t="n">
        <v>1600</v>
      </c>
      <c r="K16" s="5" t="n">
        <v>1000</v>
      </c>
      <c r="L16" s="5" t="n">
        <v>600</v>
      </c>
      <c r="M16" s="5" t="n">
        <v>-495.735</v>
      </c>
      <c r="N16" s="5" t="n">
        <v>326.9</v>
      </c>
      <c r="O16" s="5" t="n">
        <v>-67.746</v>
      </c>
      <c r="P16" s="5" t="n">
        <v>2.2</v>
      </c>
      <c r="Q16" s="5" t="inlineStr">
        <is>
          <t>net loans receivable, on-book</t>
        </is>
      </c>
      <c r="R16" s="5" t="n"/>
      <c r="S16" s="5" t="inlineStr">
        <is>
          <t>&lt;4%</t>
        </is>
      </c>
      <c r="T16" s="6" t="inlineStr">
        <is>
          <t>6-K ex.99.1</t>
        </is>
      </c>
    </row>
    <row r="17">
      <c r="A17" s="5" t="inlineStr">
        <is>
          <t>2022Q4</t>
        </is>
      </c>
      <c r="B17" s="5" t="inlineStr">
        <is>
          <t>2023-03-07</t>
        </is>
      </c>
      <c r="C17" s="5" t="n">
        <v>18</v>
      </c>
      <c r="D17" s="5" t="inlineStr">
        <is>
          <t>reported</t>
        </is>
      </c>
      <c r="E17" s="5" t="n">
        <v>1.7</v>
      </c>
      <c r="F17" s="5" t="inlineStr">
        <is>
          <t>reported</t>
        </is>
      </c>
      <c r="G17" s="5" t="n"/>
      <c r="H17" s="5" t="n"/>
      <c r="I17" s="5" t="n">
        <v>2100</v>
      </c>
      <c r="J17" s="5" t="n">
        <v>1800</v>
      </c>
      <c r="K17" s="5" t="n">
        <v>1100</v>
      </c>
      <c r="L17" s="5" t="n">
        <v>700</v>
      </c>
      <c r="M17" s="5" t="n">
        <v>196.146</v>
      </c>
      <c r="N17" s="5" t="n">
        <v>380.2</v>
      </c>
      <c r="O17" s="5" t="n">
        <v>75.601</v>
      </c>
      <c r="P17" s="5" t="n">
        <v>2.1</v>
      </c>
      <c r="Q17" s="5" t="inlineStr">
        <is>
          <t>net loans receivable, on-book</t>
        </is>
      </c>
      <c r="R17" s="5" t="n"/>
      <c r="S17" s="5" t="inlineStr">
        <is>
          <t>&lt;2%</t>
        </is>
      </c>
      <c r="T17" s="6" t="inlineStr">
        <is>
          <t>6-K ex.99.1</t>
        </is>
      </c>
    </row>
    <row r="18">
      <c r="A18" s="5" t="inlineStr">
        <is>
          <t>2023Q1</t>
        </is>
      </c>
      <c r="B18" s="5" t="inlineStr">
        <is>
          <t>2023-05-16</t>
        </is>
      </c>
      <c r="C18" s="7" t="n">
        <v>17.315</v>
      </c>
      <c r="D18" s="5" t="inlineStr">
        <is>
          <t>derived from 2024Q1 YoY</t>
        </is>
      </c>
      <c r="E18" s="7" t="n">
        <v>1.658</v>
      </c>
      <c r="F18" s="5" t="inlineStr">
        <is>
          <t>derived from 2024Q1 YoY</t>
        </is>
      </c>
      <c r="G18" s="5" t="n"/>
      <c r="H18" s="5" t="n"/>
      <c r="I18" s="5" t="n">
        <v>2100</v>
      </c>
      <c r="J18" s="5" t="n">
        <v>1800</v>
      </c>
      <c r="K18" s="5" t="n">
        <v>1200</v>
      </c>
      <c r="L18" s="5" t="n">
        <v>700</v>
      </c>
      <c r="M18" s="5" t="n">
        <v>207.714</v>
      </c>
      <c r="N18" s="5" t="n">
        <v>412.8</v>
      </c>
      <c r="O18" s="5" t="n">
        <v>98.938</v>
      </c>
      <c r="P18" s="5" t="n">
        <v>2</v>
      </c>
      <c r="Q18" s="5" t="inlineStr">
        <is>
          <t>net loans receivable, on-book</t>
        </is>
      </c>
      <c r="R18" s="5" t="n"/>
      <c r="S18" s="5" t="inlineStr">
        <is>
          <t>~2%</t>
        </is>
      </c>
      <c r="T18" s="6" t="inlineStr">
        <is>
          <t>6-K ex.99.1</t>
        </is>
      </c>
    </row>
    <row r="19">
      <c r="A19" s="5" t="inlineStr">
        <is>
          <t>2023Q2</t>
        </is>
      </c>
      <c r="B19" s="5" t="inlineStr">
        <is>
          <t>2023-08-15</t>
        </is>
      </c>
      <c r="C19" s="7" t="n">
        <v>18.048</v>
      </c>
      <c r="D19" s="5" t="inlineStr">
        <is>
          <t>derived from 2024Q2 YoY</t>
        </is>
      </c>
      <c r="E19" s="7" t="n">
        <v>1.782</v>
      </c>
      <c r="F19" s="5" t="inlineStr">
        <is>
          <t>derived from 2024Q2 YoY</t>
        </is>
      </c>
      <c r="G19" s="5" t="n"/>
      <c r="H19" s="5" t="n"/>
      <c r="I19" s="5" t="n">
        <v>2100</v>
      </c>
      <c r="J19" s="5" t="n">
        <v>1900</v>
      </c>
      <c r="K19" s="5" t="n">
        <v>1200</v>
      </c>
      <c r="L19" s="5" t="n">
        <v>625.2</v>
      </c>
      <c r="M19" s="5" t="n">
        <v>150.339</v>
      </c>
      <c r="N19" s="5" t="n">
        <v>427.9</v>
      </c>
      <c r="O19" s="5" t="n">
        <v>136.961</v>
      </c>
      <c r="P19" s="5" t="n">
        <v>2</v>
      </c>
      <c r="Q19" s="5" t="inlineStr">
        <is>
          <t>net loans receivable, on-book</t>
        </is>
      </c>
      <c r="R19" s="5" t="n"/>
      <c r="S19" s="5" t="inlineStr">
        <is>
          <t>~2%</t>
        </is>
      </c>
      <c r="T19" s="6" t="inlineStr">
        <is>
          <t>6-K ex.99.1</t>
        </is>
      </c>
    </row>
    <row r="20">
      <c r="A20" s="5" t="inlineStr">
        <is>
          <t>2023Q3</t>
        </is>
      </c>
      <c r="B20" s="5" t="inlineStr">
        <is>
          <t>2023-11-14</t>
        </is>
      </c>
      <c r="C20" s="5" t="n">
        <v>20.1</v>
      </c>
      <c r="D20" s="5" t="inlineStr">
        <is>
          <t>reported</t>
        </is>
      </c>
      <c r="E20" s="5" t="n">
        <v>2.2</v>
      </c>
      <c r="F20" s="5" t="inlineStr">
        <is>
          <t>reported</t>
        </is>
      </c>
      <c r="G20" s="5" t="n">
        <v>5.1</v>
      </c>
      <c r="H20" s="5" t="n">
        <v>13.2</v>
      </c>
      <c r="I20" s="5" t="n">
        <v>2200</v>
      </c>
      <c r="J20" s="5" t="n">
        <v>1900</v>
      </c>
      <c r="K20" s="5" t="n">
        <v>1300</v>
      </c>
      <c r="L20" s="5" t="n">
        <v>592.8</v>
      </c>
      <c r="M20" s="5" t="n">
        <v>-346.495</v>
      </c>
      <c r="N20" s="5" t="n">
        <v>446.2</v>
      </c>
      <c r="O20" s="5" t="n">
        <v>165.731</v>
      </c>
      <c r="P20" s="5" t="n">
        <v>2.4</v>
      </c>
      <c r="Q20" s="5" t="inlineStr">
        <is>
          <t>gross loans receivable, on-book</t>
        </is>
      </c>
      <c r="R20" s="5" t="n">
        <v>1.6</v>
      </c>
      <c r="S20" s="5" t="n"/>
      <c r="T20" s="6" t="inlineStr">
        <is>
          <t>6-K ex.99.1</t>
        </is>
      </c>
    </row>
    <row r="21">
      <c r="A21" s="5" t="inlineStr">
        <is>
          <t>2023Q4</t>
        </is>
      </c>
      <c r="B21" s="5" t="inlineStr">
        <is>
          <t>2024-03-04</t>
        </is>
      </c>
      <c r="C21" s="5" t="n">
        <v>23.1</v>
      </c>
      <c r="D21" s="5" t="inlineStr">
        <is>
          <t>reported</t>
        </is>
      </c>
      <c r="E21" s="5" t="n">
        <v>2.5</v>
      </c>
      <c r="F21" s="5" t="inlineStr">
        <is>
          <t>reported</t>
        </is>
      </c>
      <c r="G21" s="5" t="n">
        <v>28.6</v>
      </c>
      <c r="H21" s="5" t="n">
        <v>46</v>
      </c>
      <c r="I21" s="5" t="n">
        <v>2600</v>
      </c>
      <c r="J21" s="5" t="n">
        <v>2300</v>
      </c>
      <c r="K21" s="5" t="n">
        <v>1600</v>
      </c>
      <c r="L21" s="5" t="n">
        <v>657.9</v>
      </c>
      <c r="M21" s="5" t="n">
        <v>-225.332</v>
      </c>
      <c r="N21" s="5" t="n">
        <v>472.4</v>
      </c>
      <c r="O21" s="5" t="n">
        <v>148.482</v>
      </c>
      <c r="P21" s="5" t="n">
        <v>3.1</v>
      </c>
      <c r="Q21" s="5" t="inlineStr">
        <is>
          <t>principal outstanding, on- and off-book</t>
        </is>
      </c>
      <c r="R21" s="5" t="n">
        <v>1.6</v>
      </c>
      <c r="S21" s="5" t="n"/>
      <c r="T21" s="6" t="inlineStr">
        <is>
          <t>6-K ex.99.1</t>
        </is>
      </c>
    </row>
    <row r="22">
      <c r="A22" s="5" t="inlineStr">
        <is>
          <t>2024Q1</t>
        </is>
      </c>
      <c r="B22" s="5" t="inlineStr">
        <is>
          <t>2024-05-14</t>
        </is>
      </c>
      <c r="C22" s="5" t="n">
        <v>23.6</v>
      </c>
      <c r="D22" s="5" t="inlineStr">
        <is>
          <t>reported</t>
        </is>
      </c>
      <c r="E22" s="5" t="n">
        <v>2.6</v>
      </c>
      <c r="F22" s="5" t="inlineStr">
        <is>
          <t>reported</t>
        </is>
      </c>
      <c r="G22" s="5" t="n">
        <v>36.3</v>
      </c>
      <c r="H22" s="5" t="n">
        <v>56.8</v>
      </c>
      <c r="I22" s="5" t="n">
        <v>2700</v>
      </c>
      <c r="J22" s="5" t="n">
        <v>2400</v>
      </c>
      <c r="K22" s="5" t="n">
        <v>1700</v>
      </c>
      <c r="L22" s="5" t="n">
        <v>722.5</v>
      </c>
      <c r="M22" s="5" t="n">
        <v>-21.7</v>
      </c>
      <c r="N22" s="5" t="n">
        <v>499.4</v>
      </c>
      <c r="O22" s="5" t="n">
        <v>148.658</v>
      </c>
      <c r="P22" s="5" t="n">
        <v>3.3</v>
      </c>
      <c r="Q22" s="5" t="inlineStr">
        <is>
          <t>principal outstanding, on- and off-book</t>
        </is>
      </c>
      <c r="R22" s="5" t="n">
        <v>1.4</v>
      </c>
      <c r="S22" s="5" t="n"/>
      <c r="T22" s="6" t="inlineStr">
        <is>
          <t>6-K ex.99.1</t>
        </is>
      </c>
    </row>
    <row r="23">
      <c r="A23" s="5" t="inlineStr">
        <is>
          <t>2024Q2</t>
        </is>
      </c>
      <c r="B23" s="5" t="inlineStr">
        <is>
          <t>2024-08-13</t>
        </is>
      </c>
      <c r="C23" s="5" t="n">
        <v>23.3</v>
      </c>
      <c r="D23" s="5" t="inlineStr">
        <is>
          <t>reported</t>
        </is>
      </c>
      <c r="E23" s="5" t="n">
        <v>2.5</v>
      </c>
      <c r="F23" s="5" t="inlineStr">
        <is>
          <t>reported</t>
        </is>
      </c>
      <c r="G23" s="5" t="n">
        <v>29.1</v>
      </c>
      <c r="H23" s="5" t="n">
        <v>40.3</v>
      </c>
      <c r="I23" s="5" t="n">
        <v>2800</v>
      </c>
      <c r="J23" s="5" t="n">
        <v>2500</v>
      </c>
      <c r="K23" s="5" t="n">
        <v>1800</v>
      </c>
      <c r="L23" s="5" t="n">
        <v>722.3</v>
      </c>
      <c r="M23" s="5" t="n">
        <v>-9.18</v>
      </c>
      <c r="N23" s="5" t="n">
        <v>519.3</v>
      </c>
      <c r="O23" s="5" t="n">
        <v>164.678</v>
      </c>
      <c r="P23" s="5" t="n">
        <v>3.5</v>
      </c>
      <c r="Q23" s="5" t="inlineStr">
        <is>
          <t>principal outstanding, on- and off-book</t>
        </is>
      </c>
      <c r="R23" s="5" t="n">
        <v>1.3</v>
      </c>
      <c r="S23" s="5" t="n"/>
      <c r="T23" s="6" t="inlineStr">
        <is>
          <t>6-K ex.99.1</t>
        </is>
      </c>
    </row>
    <row r="24">
      <c r="A24" s="5" t="inlineStr">
        <is>
          <t>2024Q3</t>
        </is>
      </c>
      <c r="B24" s="5" t="inlineStr">
        <is>
          <t>2024-11-12</t>
        </is>
      </c>
      <c r="C24" s="5" t="n">
        <v>25.1</v>
      </c>
      <c r="D24" s="5" t="inlineStr">
        <is>
          <t>reported</t>
        </is>
      </c>
      <c r="E24" s="5" t="n">
        <v>2.8</v>
      </c>
      <c r="F24" s="5" t="inlineStr">
        <is>
          <t>reported</t>
        </is>
      </c>
      <c r="G24" s="5" t="n">
        <v>25.2</v>
      </c>
      <c r="H24" s="5" t="n">
        <v>24.2</v>
      </c>
      <c r="I24" s="5" t="n">
        <v>3200</v>
      </c>
      <c r="J24" s="5" t="n">
        <v>2800</v>
      </c>
      <c r="K24" s="5" t="n">
        <v>2000</v>
      </c>
      <c r="L24" s="5" t="n">
        <v>767.2</v>
      </c>
      <c r="M24" s="5" t="n">
        <v>34.446</v>
      </c>
      <c r="N24" s="5" t="n">
        <v>615.7</v>
      </c>
      <c r="O24" s="5" t="n">
        <v>187.927</v>
      </c>
      <c r="P24" s="5" t="n">
        <v>4.6</v>
      </c>
      <c r="Q24" s="5" t="inlineStr">
        <is>
          <t>principal outstanding, on- and off-book</t>
        </is>
      </c>
      <c r="R24" s="5" t="n">
        <v>1.2</v>
      </c>
      <c r="S24" s="5" t="n"/>
      <c r="T24" s="6" t="inlineStr">
        <is>
          <t>6-K ex.99.1</t>
        </is>
      </c>
    </row>
    <row r="25">
      <c r="A25" s="5" t="inlineStr">
        <is>
          <t>2024Q4</t>
        </is>
      </c>
      <c r="B25" s="5" t="inlineStr">
        <is>
          <t>2025-03-04</t>
        </is>
      </c>
      <c r="C25" s="5" t="n">
        <v>28.6</v>
      </c>
      <c r="D25" s="5" t="inlineStr">
        <is>
          <t>reported</t>
        </is>
      </c>
      <c r="E25" s="5" t="n">
        <v>3</v>
      </c>
      <c r="F25" s="5" t="inlineStr">
        <is>
          <t>reported</t>
        </is>
      </c>
      <c r="G25" s="5" t="n">
        <v>23.5</v>
      </c>
      <c r="H25" s="5" t="n">
        <v>20.1</v>
      </c>
      <c r="I25" s="5" t="n">
        <v>3700</v>
      </c>
      <c r="J25" s="5" t="n">
        <v>3200</v>
      </c>
      <c r="K25" s="5" t="n">
        <v>2400</v>
      </c>
      <c r="L25" s="5" t="n">
        <v>794.8</v>
      </c>
      <c r="M25" s="5" t="n">
        <v>152.209</v>
      </c>
      <c r="N25" s="5" t="n">
        <v>733.3</v>
      </c>
      <c r="O25" s="5" t="n">
        <v>210.979</v>
      </c>
      <c r="P25" s="5" t="n">
        <v>5.1</v>
      </c>
      <c r="Q25" s="5" t="inlineStr">
        <is>
          <t>principal outstanding, on- and off-book</t>
        </is>
      </c>
      <c r="R25" s="5" t="n">
        <v>1.2</v>
      </c>
      <c r="S25" s="5" t="n"/>
      <c r="T25" s="6" t="inlineStr">
        <is>
          <t>6-K ex.99.1</t>
        </is>
      </c>
    </row>
    <row r="26">
      <c r="A26" s="5" t="inlineStr">
        <is>
          <t>2025Q1</t>
        </is>
      </c>
      <c r="B26" s="5" t="inlineStr">
        <is>
          <t>2025-05-13</t>
        </is>
      </c>
      <c r="C26" s="5" t="n">
        <v>28.6</v>
      </c>
      <c r="D26" s="5" t="inlineStr">
        <is>
          <t>reported</t>
        </is>
      </c>
      <c r="E26" s="5" t="n">
        <v>3.1</v>
      </c>
      <c r="F26" s="5" t="inlineStr">
        <is>
          <t>reported</t>
        </is>
      </c>
      <c r="G26" s="5" t="n">
        <v>21.5</v>
      </c>
      <c r="H26" s="5" t="n">
        <v>20.5</v>
      </c>
      <c r="I26" s="5" t="n">
        <v>3500</v>
      </c>
      <c r="J26" s="5" t="n">
        <v>3100</v>
      </c>
      <c r="K26" s="5" t="n">
        <v>2400</v>
      </c>
      <c r="L26" s="5" t="n">
        <v>752.2</v>
      </c>
      <c r="M26" s="5" t="n">
        <v>264.417</v>
      </c>
      <c r="N26" s="5" t="n">
        <v>787.1</v>
      </c>
      <c r="O26" s="5" t="n">
        <v>241.439</v>
      </c>
      <c r="P26" s="5" t="n">
        <v>5.8</v>
      </c>
      <c r="Q26" s="5" t="inlineStr">
        <is>
          <t>principal outstanding, on- and off-book</t>
        </is>
      </c>
      <c r="R26" s="5" t="n">
        <v>1.1</v>
      </c>
      <c r="S26" s="5" t="n"/>
      <c r="T26" s="6" t="inlineStr">
        <is>
          <t>6-K ex.99.1</t>
        </is>
      </c>
    </row>
    <row r="27">
      <c r="A27" s="5" t="inlineStr">
        <is>
          <t>2025Q2</t>
        </is>
      </c>
      <c r="B27" s="5" t="inlineStr">
        <is>
          <t>2025-08-12</t>
        </is>
      </c>
      <c r="C27" s="5" t="n">
        <v>29.8</v>
      </c>
      <c r="D27" s="5" t="inlineStr">
        <is>
          <t>reported</t>
        </is>
      </c>
      <c r="E27" s="5" t="n">
        <v>3.3</v>
      </c>
      <c r="F27" s="5" t="inlineStr">
        <is>
          <t>reported</t>
        </is>
      </c>
      <c r="G27" s="5" t="n">
        <v>28.2</v>
      </c>
      <c r="H27" s="5" t="n">
        <v>28.6</v>
      </c>
      <c r="I27" s="5" t="n">
        <v>3800</v>
      </c>
      <c r="J27" s="5" t="n">
        <v>3300</v>
      </c>
      <c r="K27" s="5" t="n">
        <v>2600</v>
      </c>
      <c r="L27" s="5" t="n">
        <v>743</v>
      </c>
      <c r="M27" s="5" t="n">
        <v>227.694</v>
      </c>
      <c r="N27" s="5" t="n">
        <v>882.8</v>
      </c>
      <c r="O27" s="5" t="n">
        <v>255.263</v>
      </c>
      <c r="P27" s="5" t="n">
        <v>6.9</v>
      </c>
      <c r="Q27" s="5" t="inlineStr">
        <is>
          <t>principal outstanding, on- and off-book</t>
        </is>
      </c>
      <c r="R27" s="5" t="n">
        <v>1</v>
      </c>
      <c r="S27" s="5" t="n"/>
      <c r="T27" s="6" t="inlineStr">
        <is>
          <t>6-K ex.99.1</t>
        </is>
      </c>
    </row>
    <row r="28">
      <c r="A28" s="5" t="inlineStr">
        <is>
          <t>2025Q3</t>
        </is>
      </c>
      <c r="B28" s="5" t="inlineStr">
        <is>
          <t>2025-11-12</t>
        </is>
      </c>
      <c r="C28" s="5" t="n">
        <v>32.2</v>
      </c>
      <c r="D28" s="5" t="inlineStr">
        <is>
          <t>reported</t>
        </is>
      </c>
      <c r="E28" s="5" t="n">
        <v>3.6</v>
      </c>
      <c r="F28" s="5" t="inlineStr">
        <is>
          <t>reported</t>
        </is>
      </c>
      <c r="G28" s="5" t="n">
        <v>28.4</v>
      </c>
      <c r="H28" s="5" t="n">
        <v>28.4</v>
      </c>
      <c r="I28" s="5" t="n">
        <v>4300</v>
      </c>
      <c r="J28" s="5" t="n">
        <v>3800</v>
      </c>
      <c r="K28" s="5" t="n">
        <v>3100</v>
      </c>
      <c r="L28" s="5" t="n">
        <v>723.6</v>
      </c>
      <c r="M28" s="5" t="n">
        <v>186.055</v>
      </c>
      <c r="N28" s="5" t="n">
        <v>989.9</v>
      </c>
      <c r="O28" s="5" t="n">
        <v>258.312</v>
      </c>
      <c r="P28" s="5" t="n">
        <v>7.9</v>
      </c>
      <c r="Q28" s="5" t="inlineStr">
        <is>
          <t>principal outstanding, on- and off-book</t>
        </is>
      </c>
      <c r="R28" s="5" t="n">
        <v>1.1</v>
      </c>
      <c r="S28" s="5" t="n"/>
      <c r="T28" s="6" t="inlineStr">
        <is>
          <t>6-K ex.99.1</t>
        </is>
      </c>
    </row>
    <row r="29">
      <c r="A29" s="5" t="inlineStr">
        <is>
          <t>2025Q4</t>
        </is>
      </c>
      <c r="B29" s="5" t="inlineStr">
        <is>
          <t>2026-03-03</t>
        </is>
      </c>
      <c r="C29" s="5" t="n">
        <v>36.7</v>
      </c>
      <c r="D29" s="5" t="inlineStr">
        <is>
          <t>reported</t>
        </is>
      </c>
      <c r="E29" s="5" t="n">
        <v>4</v>
      </c>
      <c r="F29" s="5" t="inlineStr">
        <is>
          <t>reported</t>
        </is>
      </c>
      <c r="G29" s="5" t="n">
        <v>28.6</v>
      </c>
      <c r="H29" s="5" t="n">
        <v>30.5</v>
      </c>
      <c r="I29" s="5" t="n">
        <v>5000</v>
      </c>
      <c r="J29" s="5" t="n">
        <v>4300</v>
      </c>
      <c r="K29" s="5" t="n">
        <v>3600</v>
      </c>
      <c r="L29" s="5" t="n">
        <v>735</v>
      </c>
      <c r="M29" s="5" t="n">
        <v>202.457</v>
      </c>
      <c r="N29" s="5" t="n">
        <v>1100</v>
      </c>
      <c r="O29" s="5" t="n">
        <v>263.07</v>
      </c>
      <c r="P29" s="5" t="n">
        <v>9.199999999999999</v>
      </c>
      <c r="Q29" s="5" t="inlineStr">
        <is>
          <t>principal outstanding, on- and off-book</t>
        </is>
      </c>
      <c r="R29" s="5" t="n">
        <v>1.1</v>
      </c>
      <c r="S29" s="5" t="n"/>
      <c r="T29" s="6" t="inlineStr">
        <is>
          <t>6-K ex.99.1</t>
        </is>
      </c>
    </row>
    <row r="30">
      <c r="A30" s="5" t="inlineStr">
        <is>
          <t>2026Q1</t>
        </is>
      </c>
      <c r="B30" s="5" t="inlineStr">
        <is>
          <t>2026-05-12</t>
        </is>
      </c>
      <c r="C30" s="5" t="n">
        <v>37.3</v>
      </c>
      <c r="D30" s="5" t="inlineStr">
        <is>
          <t>reported</t>
        </is>
      </c>
      <c r="E30" s="5" t="n">
        <v>4</v>
      </c>
      <c r="F30" s="5" t="inlineStr">
        <is>
          <t>reported</t>
        </is>
      </c>
      <c r="G30" s="5" t="n">
        <v>30.2</v>
      </c>
      <c r="H30" s="5" t="n">
        <v>29.3</v>
      </c>
      <c r="I30" s="5" t="n">
        <v>5100</v>
      </c>
      <c r="J30" s="5" t="n">
        <v>4500</v>
      </c>
      <c r="K30" s="5" t="n">
        <v>3800</v>
      </c>
      <c r="L30" s="5" t="n">
        <v>691.6</v>
      </c>
      <c r="M30" s="5" t="n">
        <v>223.174</v>
      </c>
      <c r="N30" s="5" t="n">
        <v>1200</v>
      </c>
      <c r="O30" s="5" t="n">
        <v>275.243</v>
      </c>
      <c r="P30" s="5" t="n">
        <v>9.9</v>
      </c>
      <c r="Q30" s="5" t="inlineStr">
        <is>
          <t>principal outstanding, on- and off-book</t>
        </is>
      </c>
      <c r="R30" s="5" t="n">
        <v>1.1</v>
      </c>
      <c r="S30" s="5" t="n"/>
      <c r="T30" s="6" t="inlineStr">
        <is>
          <t>6-K ex.99.1</t>
        </is>
      </c>
    </row>
    <row r="31">
      <c r="A31" s="5" t="inlineStr">
        <is>
          <t>2026Q2</t>
        </is>
      </c>
      <c r="B31" s="5" t="inlineStr">
        <is>
          <t>2026-08-11</t>
        </is>
      </c>
      <c r="C31" s="5" t="n">
        <v>38.3</v>
      </c>
      <c r="D31" s="5" t="inlineStr">
        <is>
          <t>reported</t>
        </is>
      </c>
      <c r="E31" s="5" t="n">
        <v>4.2</v>
      </c>
      <c r="F31" s="5" t="inlineStr">
        <is>
          <t>reported</t>
        </is>
      </c>
      <c r="G31" s="5" t="n">
        <v>28.4</v>
      </c>
      <c r="H31" s="5" t="n">
        <v>27.5</v>
      </c>
      <c r="I31" s="5" t="n">
        <v>5600</v>
      </c>
      <c r="J31" s="5" t="n">
        <v>4900</v>
      </c>
      <c r="K31" s="5" t="n">
        <v>4300</v>
      </c>
      <c r="L31" s="5" t="n">
        <v>676.4</v>
      </c>
      <c r="M31" s="5" t="n">
        <v>255.419</v>
      </c>
      <c r="N31" s="5" t="n">
        <v>1400</v>
      </c>
      <c r="O31" s="5" t="n">
        <v>287.985</v>
      </c>
      <c r="P31" s="5" t="n">
        <v>11.1</v>
      </c>
      <c r="Q31" s="5" t="inlineStr">
        <is>
          <t>principal outstanding, on- and off-book</t>
        </is>
      </c>
      <c r="R31" s="5" t="n">
        <v>1</v>
      </c>
      <c r="S31" s="5" t="n"/>
      <c r="T31" s="6" t="inlineStr">
        <is>
          <t>6-K ex.99.1</t>
        </is>
      </c>
    </row>
  </sheetData>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ht="42" customHeight="1">
      <c r="A1" s="4" t="inlineStr">
        <is>
          <t>Period</t>
        </is>
      </c>
      <c r="B1" s="4" t="inlineStr">
        <is>
          <t>AOV (US$ per order)</t>
        </is>
      </c>
      <c r="C1" s="4" t="inlineStr">
        <is>
          <t>Marketplace take rate</t>
        </is>
      </c>
      <c r="D1" s="4" t="inlineStr">
        <is>
          <t>Core take rate (fees + ads)</t>
        </is>
      </c>
      <c r="E1" s="4" t="inlineStr">
        <is>
          <t>VAS (logistics) % GMV</t>
        </is>
      </c>
      <c r="F1" s="4" t="inlineStr">
        <is>
          <t>Adj. EBITDA per order (US$)</t>
        </is>
      </c>
      <c r="G1" s="4" t="inlineStr">
        <is>
          <t>Adj. EBITDA % GMV</t>
        </is>
      </c>
      <c r="H1" s="4" t="inlineStr">
        <is>
          <t>Adj. EBITDA % marketplace revenue</t>
        </is>
      </c>
      <c r="I1" s="4" t="inlineStr">
        <is>
          <t>GMV YoY</t>
        </is>
      </c>
      <c r="J1" s="4" t="inlineStr">
        <is>
          <t>Orders YoY</t>
        </is>
      </c>
      <c r="K1" s="4" t="inlineStr">
        <is>
          <t>Marketplace revenue YoY</t>
        </is>
      </c>
      <c r="L1" s="4" t="inlineStr">
        <is>
          <t>Trailing 4Q GMV (US$ bn)</t>
        </is>
      </c>
      <c r="M1" s="4" t="inlineStr">
        <is>
          <t>Trailing 4Q adj. EBITDA (US$ m)</t>
        </is>
      </c>
    </row>
    <row r="2">
      <c r="A2">
        <f>Data!A2</f>
        <v/>
      </c>
      <c r="B2" s="8">
        <f>IF(OR(Data!C2="",Data!E2=""),"",Data!C2/Data!E2)</f>
        <v/>
      </c>
      <c r="C2" s="9">
        <f>IF(OR(Data!J2="",Data!C2=""),"",Data!J2/(Data!C2*1000))</f>
        <v/>
      </c>
      <c r="D2" s="9">
        <f>IF(OR(Data!K2=""),"",Data!K2/(Data!C2*1000))</f>
        <v/>
      </c>
      <c r="E2" s="9">
        <f>IF(OR(Data!L2=""),"",Data!L2/(Data!C2*1000))</f>
        <v/>
      </c>
      <c r="F2" s="10">
        <f>IF(OR(Data!E2=""),"",Data!M2/(Data!E2*1000))</f>
        <v/>
      </c>
      <c r="G2" s="11">
        <f>IF(OR(Data!C2=""),"",Data!M2/(Data!C2*1000))</f>
        <v/>
      </c>
      <c r="H2" s="9">
        <f>IF(OR(Data!J2=""),"",Data!M2/Data!J2)</f>
        <v/>
      </c>
      <c r="I2" s="9" t="inlineStr"/>
      <c r="J2" s="9" t="inlineStr"/>
      <c r="K2" s="9" t="inlineStr"/>
      <c r="L2" s="12" t="inlineStr"/>
      <c r="M2" s="13" t="inlineStr"/>
    </row>
    <row r="3">
      <c r="A3">
        <f>Data!A3</f>
        <v/>
      </c>
      <c r="B3" s="8">
        <f>IF(OR(Data!C3="",Data!E3=""),"",Data!C3/Data!E3)</f>
        <v/>
      </c>
      <c r="C3" s="9">
        <f>IF(OR(Data!J3="",Data!C3=""),"",Data!J3/(Data!C3*1000))</f>
        <v/>
      </c>
      <c r="D3" s="9">
        <f>IF(OR(Data!K3=""),"",Data!K3/(Data!C3*1000))</f>
        <v/>
      </c>
      <c r="E3" s="9">
        <f>IF(OR(Data!L3=""),"",Data!L3/(Data!C3*1000))</f>
        <v/>
      </c>
      <c r="F3" s="10">
        <f>IF(OR(Data!E3=""),"",Data!M3/(Data!E3*1000))</f>
        <v/>
      </c>
      <c r="G3" s="11">
        <f>IF(OR(Data!C3=""),"",Data!M3/(Data!C3*1000))</f>
        <v/>
      </c>
      <c r="H3" s="9">
        <f>IF(OR(Data!J3=""),"",Data!M3/Data!J3)</f>
        <v/>
      </c>
      <c r="I3" s="9" t="inlineStr"/>
      <c r="J3" s="9" t="inlineStr"/>
      <c r="K3" s="9" t="inlineStr"/>
      <c r="L3" s="12" t="inlineStr"/>
      <c r="M3" s="13" t="inlineStr"/>
    </row>
    <row r="4">
      <c r="A4">
        <f>Data!A4</f>
        <v/>
      </c>
      <c r="B4" s="8">
        <f>IF(OR(Data!C4="",Data!E4=""),"",Data!C4/Data!E4)</f>
        <v/>
      </c>
      <c r="C4" s="9">
        <f>IF(OR(Data!J4="",Data!C4=""),"",Data!J4/(Data!C4*1000))</f>
        <v/>
      </c>
      <c r="D4" s="9">
        <f>IF(OR(Data!K4=""),"",Data!K4/(Data!C4*1000))</f>
        <v/>
      </c>
      <c r="E4" s="9">
        <f>IF(OR(Data!L4=""),"",Data!L4/(Data!C4*1000))</f>
        <v/>
      </c>
      <c r="F4" s="10">
        <f>IF(OR(Data!E4=""),"",Data!M4/(Data!E4*1000))</f>
        <v/>
      </c>
      <c r="G4" s="11">
        <f>IF(OR(Data!C4=""),"",Data!M4/(Data!C4*1000))</f>
        <v/>
      </c>
      <c r="H4" s="9">
        <f>IF(OR(Data!J4=""),"",Data!M4/Data!J4)</f>
        <v/>
      </c>
      <c r="I4" s="9" t="inlineStr"/>
      <c r="J4" s="9" t="inlineStr"/>
      <c r="K4" s="9" t="inlineStr"/>
      <c r="L4" s="12" t="inlineStr"/>
      <c r="M4" s="13" t="inlineStr"/>
    </row>
    <row r="5">
      <c r="A5">
        <f>Data!A5</f>
        <v/>
      </c>
      <c r="B5" s="8">
        <f>IF(OR(Data!C5="",Data!E5=""),"",Data!C5/Data!E5)</f>
        <v/>
      </c>
      <c r="C5" s="9">
        <f>IF(OR(Data!J5="",Data!C5=""),"",Data!J5/(Data!C5*1000))</f>
        <v/>
      </c>
      <c r="D5" s="9">
        <f>IF(OR(Data!K5=""),"",Data!K5/(Data!C5*1000))</f>
        <v/>
      </c>
      <c r="E5" s="9">
        <f>IF(OR(Data!L5=""),"",Data!L5/(Data!C5*1000))</f>
        <v/>
      </c>
      <c r="F5" s="10">
        <f>IF(OR(Data!E5=""),"",Data!M5/(Data!E5*1000))</f>
        <v/>
      </c>
      <c r="G5" s="11">
        <f>IF(OR(Data!C5=""),"",Data!M5/(Data!C5*1000))</f>
        <v/>
      </c>
      <c r="H5" s="9">
        <f>IF(OR(Data!J5=""),"",Data!M5/Data!J5)</f>
        <v/>
      </c>
      <c r="I5" s="9" t="inlineStr"/>
      <c r="J5" s="9" t="inlineStr"/>
      <c r="K5" s="9" t="inlineStr"/>
      <c r="L5" s="12">
        <f>SUM(Data!C2:C5)</f>
        <v/>
      </c>
      <c r="M5" s="13">
        <f>SUM(Data!M2:M5)</f>
        <v/>
      </c>
    </row>
    <row r="6">
      <c r="A6">
        <f>Data!A6</f>
        <v/>
      </c>
      <c r="B6" s="8">
        <f>IF(OR(Data!C6="",Data!E6=""),"",Data!C6/Data!E6)</f>
        <v/>
      </c>
      <c r="C6" s="9">
        <f>IF(OR(Data!J6="",Data!C6=""),"",Data!J6/(Data!C6*1000))</f>
        <v/>
      </c>
      <c r="D6" s="9">
        <f>IF(OR(Data!K6=""),"",Data!K6/(Data!C6*1000))</f>
        <v/>
      </c>
      <c r="E6" s="9">
        <f>IF(OR(Data!L6=""),"",Data!L6/(Data!C6*1000))</f>
        <v/>
      </c>
      <c r="F6" s="10">
        <f>IF(OR(Data!E6=""),"",Data!M6/(Data!E6*1000))</f>
        <v/>
      </c>
      <c r="G6" s="11">
        <f>IF(OR(Data!C6=""),"",Data!M6/(Data!C6*1000))</f>
        <v/>
      </c>
      <c r="H6" s="9">
        <f>IF(OR(Data!J6=""),"",Data!M6/Data!J6)</f>
        <v/>
      </c>
      <c r="I6" s="9">
        <f>IF(OR(Data!C6="",Data!C2=""),"",Data!C6/Data!C2-1)</f>
        <v/>
      </c>
      <c r="J6" s="9">
        <f>IF(OR(Data!E6="",Data!E2=""),"",Data!E6/Data!E2-1)</f>
        <v/>
      </c>
      <c r="K6" s="9">
        <f>IF(OR(Data!J6="",Data!J2=""),"",Data!J6/Data!J2-1)</f>
        <v/>
      </c>
      <c r="L6" s="12">
        <f>SUM(Data!C3:C6)</f>
        <v/>
      </c>
      <c r="M6" s="13">
        <f>SUM(Data!M3:M6)</f>
        <v/>
      </c>
    </row>
    <row r="7">
      <c r="A7">
        <f>Data!A7</f>
        <v/>
      </c>
      <c r="B7" s="8">
        <f>IF(OR(Data!C7="",Data!E7=""),"",Data!C7/Data!E7)</f>
        <v/>
      </c>
      <c r="C7" s="9">
        <f>IF(OR(Data!J7="",Data!C7=""),"",Data!J7/(Data!C7*1000))</f>
        <v/>
      </c>
      <c r="D7" s="9">
        <f>IF(OR(Data!K7=""),"",Data!K7/(Data!C7*1000))</f>
        <v/>
      </c>
      <c r="E7" s="9">
        <f>IF(OR(Data!L7=""),"",Data!L7/(Data!C7*1000))</f>
        <v/>
      </c>
      <c r="F7" s="10">
        <f>IF(OR(Data!E7=""),"",Data!M7/(Data!E7*1000))</f>
        <v/>
      </c>
      <c r="G7" s="11">
        <f>IF(OR(Data!C7=""),"",Data!M7/(Data!C7*1000))</f>
        <v/>
      </c>
      <c r="H7" s="9">
        <f>IF(OR(Data!J7=""),"",Data!M7/Data!J7)</f>
        <v/>
      </c>
      <c r="I7" s="9">
        <f>IF(OR(Data!C7="",Data!C3=""),"",Data!C7/Data!C3-1)</f>
        <v/>
      </c>
      <c r="J7" s="9">
        <f>IF(OR(Data!E7="",Data!E3=""),"",Data!E7/Data!E3-1)</f>
        <v/>
      </c>
      <c r="K7" s="9">
        <f>IF(OR(Data!J7="",Data!J3=""),"",Data!J7/Data!J3-1)</f>
        <v/>
      </c>
      <c r="L7" s="12">
        <f>SUM(Data!C4:C7)</f>
        <v/>
      </c>
      <c r="M7" s="13">
        <f>SUM(Data!M4:M7)</f>
        <v/>
      </c>
    </row>
    <row r="8">
      <c r="A8">
        <f>Data!A8</f>
        <v/>
      </c>
      <c r="B8" s="8">
        <f>IF(OR(Data!C8="",Data!E8=""),"",Data!C8/Data!E8)</f>
        <v/>
      </c>
      <c r="C8" s="9">
        <f>IF(OR(Data!J8="",Data!C8=""),"",Data!J8/(Data!C8*1000))</f>
        <v/>
      </c>
      <c r="D8" s="9">
        <f>IF(OR(Data!K8=""),"",Data!K8/(Data!C8*1000))</f>
        <v/>
      </c>
      <c r="E8" s="9">
        <f>IF(OR(Data!L8=""),"",Data!L8/(Data!C8*1000))</f>
        <v/>
      </c>
      <c r="F8" s="10">
        <f>IF(OR(Data!E8=""),"",Data!M8/(Data!E8*1000))</f>
        <v/>
      </c>
      <c r="G8" s="11">
        <f>IF(OR(Data!C8=""),"",Data!M8/(Data!C8*1000))</f>
        <v/>
      </c>
      <c r="H8" s="9">
        <f>IF(OR(Data!J8=""),"",Data!M8/Data!J8)</f>
        <v/>
      </c>
      <c r="I8" s="9">
        <f>IF(OR(Data!C8="",Data!C4=""),"",Data!C8/Data!C4-1)</f>
        <v/>
      </c>
      <c r="J8" s="9">
        <f>IF(OR(Data!E8="",Data!E4=""),"",Data!E8/Data!E4-1)</f>
        <v/>
      </c>
      <c r="K8" s="9">
        <f>IF(OR(Data!J8="",Data!J4=""),"",Data!J8/Data!J4-1)</f>
        <v/>
      </c>
      <c r="L8" s="12">
        <f>SUM(Data!C5:C8)</f>
        <v/>
      </c>
      <c r="M8" s="13">
        <f>SUM(Data!M5:M8)</f>
        <v/>
      </c>
    </row>
    <row r="9">
      <c r="A9">
        <f>Data!A9</f>
        <v/>
      </c>
      <c r="B9" s="8">
        <f>IF(OR(Data!C9="",Data!E9=""),"",Data!C9/Data!E9)</f>
        <v/>
      </c>
      <c r="C9" s="9">
        <f>IF(OR(Data!J9="",Data!C9=""),"",Data!J9/(Data!C9*1000))</f>
        <v/>
      </c>
      <c r="D9" s="9">
        <f>IF(OR(Data!K9=""),"",Data!K9/(Data!C9*1000))</f>
        <v/>
      </c>
      <c r="E9" s="9">
        <f>IF(OR(Data!L9=""),"",Data!L9/(Data!C9*1000))</f>
        <v/>
      </c>
      <c r="F9" s="10">
        <f>IF(OR(Data!E9=""),"",Data!M9/(Data!E9*1000))</f>
        <v/>
      </c>
      <c r="G9" s="11">
        <f>IF(OR(Data!C9=""),"",Data!M9/(Data!C9*1000))</f>
        <v/>
      </c>
      <c r="H9" s="9">
        <f>IF(OR(Data!J9=""),"",Data!M9/Data!J9)</f>
        <v/>
      </c>
      <c r="I9" s="9">
        <f>IF(OR(Data!C9="",Data!C5=""),"",Data!C9/Data!C5-1)</f>
        <v/>
      </c>
      <c r="J9" s="9">
        <f>IF(OR(Data!E9="",Data!E5=""),"",Data!E9/Data!E5-1)</f>
        <v/>
      </c>
      <c r="K9" s="9">
        <f>IF(OR(Data!J9="",Data!J5=""),"",Data!J9/Data!J5-1)</f>
        <v/>
      </c>
      <c r="L9" s="12">
        <f>SUM(Data!C6:C9)</f>
        <v/>
      </c>
      <c r="M9" s="13">
        <f>SUM(Data!M6:M9)</f>
        <v/>
      </c>
    </row>
    <row r="10">
      <c r="A10">
        <f>Data!A10</f>
        <v/>
      </c>
      <c r="B10" s="8">
        <f>IF(OR(Data!C10="",Data!E10=""),"",Data!C10/Data!E10)</f>
        <v/>
      </c>
      <c r="C10" s="9">
        <f>IF(OR(Data!J10="",Data!C10=""),"",Data!J10/(Data!C10*1000))</f>
        <v/>
      </c>
      <c r="D10" s="9">
        <f>IF(OR(Data!K10=""),"",Data!K10/(Data!C10*1000))</f>
        <v/>
      </c>
      <c r="E10" s="9">
        <f>IF(OR(Data!L10=""),"",Data!L10/(Data!C10*1000))</f>
        <v/>
      </c>
      <c r="F10" s="10">
        <f>IF(OR(Data!E10=""),"",Data!M10/(Data!E10*1000))</f>
        <v/>
      </c>
      <c r="G10" s="11">
        <f>IF(OR(Data!C10=""),"",Data!M10/(Data!C10*1000))</f>
        <v/>
      </c>
      <c r="H10" s="9">
        <f>IF(OR(Data!J10=""),"",Data!M10/Data!J10)</f>
        <v/>
      </c>
      <c r="I10" s="9">
        <f>IF(OR(Data!C10="",Data!C6=""),"",Data!C10/Data!C6-1)</f>
        <v/>
      </c>
      <c r="J10" s="9">
        <f>IF(OR(Data!E10="",Data!E6=""),"",Data!E10/Data!E6-1)</f>
        <v/>
      </c>
      <c r="K10" s="9">
        <f>IF(OR(Data!J10="",Data!J6=""),"",Data!J10/Data!J6-1)</f>
        <v/>
      </c>
      <c r="L10" s="12">
        <f>SUM(Data!C7:C10)</f>
        <v/>
      </c>
      <c r="M10" s="13">
        <f>SUM(Data!M7:M10)</f>
        <v/>
      </c>
    </row>
    <row r="11">
      <c r="A11">
        <f>Data!A11</f>
        <v/>
      </c>
      <c r="B11" s="8">
        <f>IF(OR(Data!C11="",Data!E11=""),"",Data!C11/Data!E11)</f>
        <v/>
      </c>
      <c r="C11" s="9">
        <f>IF(OR(Data!J11="",Data!C11=""),"",Data!J11/(Data!C11*1000))</f>
        <v/>
      </c>
      <c r="D11" s="9">
        <f>IF(OR(Data!K11=""),"",Data!K11/(Data!C11*1000))</f>
        <v/>
      </c>
      <c r="E11" s="9">
        <f>IF(OR(Data!L11=""),"",Data!L11/(Data!C11*1000))</f>
        <v/>
      </c>
      <c r="F11" s="10">
        <f>IF(OR(Data!E11=""),"",Data!M11/(Data!E11*1000))</f>
        <v/>
      </c>
      <c r="G11" s="11">
        <f>IF(OR(Data!C11=""),"",Data!M11/(Data!C11*1000))</f>
        <v/>
      </c>
      <c r="H11" s="9">
        <f>IF(OR(Data!J11=""),"",Data!M11/Data!J11)</f>
        <v/>
      </c>
      <c r="I11" s="9">
        <f>IF(OR(Data!C11="",Data!C7=""),"",Data!C11/Data!C7-1)</f>
        <v/>
      </c>
      <c r="J11" s="9">
        <f>IF(OR(Data!E11="",Data!E7=""),"",Data!E11/Data!E7-1)</f>
        <v/>
      </c>
      <c r="K11" s="9">
        <f>IF(OR(Data!J11="",Data!J7=""),"",Data!J11/Data!J7-1)</f>
        <v/>
      </c>
      <c r="L11" s="12">
        <f>SUM(Data!C8:C11)</f>
        <v/>
      </c>
      <c r="M11" s="13">
        <f>SUM(Data!M8:M11)</f>
        <v/>
      </c>
    </row>
    <row r="12">
      <c r="A12">
        <f>Data!A12</f>
        <v/>
      </c>
      <c r="B12" s="8">
        <f>IF(OR(Data!C12="",Data!E12=""),"",Data!C12/Data!E12)</f>
        <v/>
      </c>
      <c r="C12" s="9">
        <f>IF(OR(Data!J12="",Data!C12=""),"",Data!J12/(Data!C12*1000))</f>
        <v/>
      </c>
      <c r="D12" s="9">
        <f>IF(OR(Data!K12=""),"",Data!K12/(Data!C12*1000))</f>
        <v/>
      </c>
      <c r="E12" s="9">
        <f>IF(OR(Data!L12=""),"",Data!L12/(Data!C12*1000))</f>
        <v/>
      </c>
      <c r="F12" s="10">
        <f>IF(OR(Data!E12=""),"",Data!M12/(Data!E12*1000))</f>
        <v/>
      </c>
      <c r="G12" s="11">
        <f>IF(OR(Data!C12=""),"",Data!M12/(Data!C12*1000))</f>
        <v/>
      </c>
      <c r="H12" s="9">
        <f>IF(OR(Data!J12=""),"",Data!M12/Data!J12)</f>
        <v/>
      </c>
      <c r="I12" s="9">
        <f>IF(OR(Data!C12="",Data!C8=""),"",Data!C12/Data!C8-1)</f>
        <v/>
      </c>
      <c r="J12" s="9">
        <f>IF(OR(Data!E12="",Data!E8=""),"",Data!E12/Data!E8-1)</f>
        <v/>
      </c>
      <c r="K12" s="9">
        <f>IF(OR(Data!J12="",Data!J8=""),"",Data!J12/Data!J8-1)</f>
        <v/>
      </c>
      <c r="L12" s="12">
        <f>SUM(Data!C9:C12)</f>
        <v/>
      </c>
      <c r="M12" s="13">
        <f>SUM(Data!M9:M12)</f>
        <v/>
      </c>
    </row>
    <row r="13">
      <c r="A13">
        <f>Data!A13</f>
        <v/>
      </c>
      <c r="B13" s="8">
        <f>IF(OR(Data!C13="",Data!E13=""),"",Data!C13/Data!E13)</f>
        <v/>
      </c>
      <c r="C13" s="9">
        <f>IF(OR(Data!J13="",Data!C13=""),"",Data!J13/(Data!C13*1000))</f>
        <v/>
      </c>
      <c r="D13" s="9">
        <f>IF(OR(Data!K13=""),"",Data!K13/(Data!C13*1000))</f>
        <v/>
      </c>
      <c r="E13" s="9">
        <f>IF(OR(Data!L13=""),"",Data!L13/(Data!C13*1000))</f>
        <v/>
      </c>
      <c r="F13" s="10">
        <f>IF(OR(Data!E13=""),"",Data!M13/(Data!E13*1000))</f>
        <v/>
      </c>
      <c r="G13" s="11">
        <f>IF(OR(Data!C13=""),"",Data!M13/(Data!C13*1000))</f>
        <v/>
      </c>
      <c r="H13" s="9">
        <f>IF(OR(Data!J13=""),"",Data!M13/Data!J13)</f>
        <v/>
      </c>
      <c r="I13" s="9">
        <f>IF(OR(Data!C13="",Data!C9=""),"",Data!C13/Data!C9-1)</f>
        <v/>
      </c>
      <c r="J13" s="9">
        <f>IF(OR(Data!E13="",Data!E9=""),"",Data!E13/Data!E9-1)</f>
        <v/>
      </c>
      <c r="K13" s="9">
        <f>IF(OR(Data!J13="",Data!J9=""),"",Data!J13/Data!J9-1)</f>
        <v/>
      </c>
      <c r="L13" s="12">
        <f>SUM(Data!C10:C13)</f>
        <v/>
      </c>
      <c r="M13" s="13">
        <f>SUM(Data!M10:M13)</f>
        <v/>
      </c>
    </row>
    <row r="14">
      <c r="A14">
        <f>Data!A14</f>
        <v/>
      </c>
      <c r="B14" s="8">
        <f>IF(OR(Data!C14="",Data!E14=""),"",Data!C14/Data!E14)</f>
        <v/>
      </c>
      <c r="C14" s="9">
        <f>IF(OR(Data!J14="",Data!C14=""),"",Data!J14/(Data!C14*1000))</f>
        <v/>
      </c>
      <c r="D14" s="9">
        <f>IF(OR(Data!K14=""),"",Data!K14/(Data!C14*1000))</f>
        <v/>
      </c>
      <c r="E14" s="9">
        <f>IF(OR(Data!L14=""),"",Data!L14/(Data!C14*1000))</f>
        <v/>
      </c>
      <c r="F14" s="10">
        <f>IF(OR(Data!E14=""),"",Data!M14/(Data!E14*1000))</f>
        <v/>
      </c>
      <c r="G14" s="11">
        <f>IF(OR(Data!C14=""),"",Data!M14/(Data!C14*1000))</f>
        <v/>
      </c>
      <c r="H14" s="9">
        <f>IF(OR(Data!J14=""),"",Data!M14/Data!J14)</f>
        <v/>
      </c>
      <c r="I14" s="9">
        <f>IF(OR(Data!C14="",Data!C10=""),"",Data!C14/Data!C10-1)</f>
        <v/>
      </c>
      <c r="J14" s="9">
        <f>IF(OR(Data!E14="",Data!E10=""),"",Data!E14/Data!E10-1)</f>
        <v/>
      </c>
      <c r="K14" s="9">
        <f>IF(OR(Data!J14="",Data!J10=""),"",Data!J14/Data!J10-1)</f>
        <v/>
      </c>
      <c r="L14" s="12">
        <f>SUM(Data!C11:C14)</f>
        <v/>
      </c>
      <c r="M14" s="13">
        <f>SUM(Data!M11:M14)</f>
        <v/>
      </c>
    </row>
    <row r="15">
      <c r="A15">
        <f>Data!A15</f>
        <v/>
      </c>
      <c r="B15" s="8">
        <f>IF(OR(Data!C15="",Data!E15=""),"",Data!C15/Data!E15)</f>
        <v/>
      </c>
      <c r="C15" s="9">
        <f>IF(OR(Data!J15="",Data!C15=""),"",Data!J15/(Data!C15*1000))</f>
        <v/>
      </c>
      <c r="D15" s="9">
        <f>IF(OR(Data!K15=""),"",Data!K15/(Data!C15*1000))</f>
        <v/>
      </c>
      <c r="E15" s="9">
        <f>IF(OR(Data!L15=""),"",Data!L15/(Data!C15*1000))</f>
        <v/>
      </c>
      <c r="F15" s="10">
        <f>IF(OR(Data!E15=""),"",Data!M15/(Data!E15*1000))</f>
        <v/>
      </c>
      <c r="G15" s="11">
        <f>IF(OR(Data!C15=""),"",Data!M15/(Data!C15*1000))</f>
        <v/>
      </c>
      <c r="H15" s="9">
        <f>IF(OR(Data!J15=""),"",Data!M15/Data!J15)</f>
        <v/>
      </c>
      <c r="I15" s="9">
        <f>IF(OR(Data!C15="",Data!C11=""),"",Data!C15/Data!C11-1)</f>
        <v/>
      </c>
      <c r="J15" s="9">
        <f>IF(OR(Data!E15="",Data!E11=""),"",Data!E15/Data!E11-1)</f>
        <v/>
      </c>
      <c r="K15" s="9">
        <f>IF(OR(Data!J15="",Data!J11=""),"",Data!J15/Data!J11-1)</f>
        <v/>
      </c>
      <c r="L15" s="12">
        <f>SUM(Data!C12:C15)</f>
        <v/>
      </c>
      <c r="M15" s="13">
        <f>SUM(Data!M12:M15)</f>
        <v/>
      </c>
    </row>
    <row r="16">
      <c r="A16">
        <f>Data!A16</f>
        <v/>
      </c>
      <c r="B16" s="8">
        <f>IF(OR(Data!C16="",Data!E16=""),"",Data!C16/Data!E16)</f>
        <v/>
      </c>
      <c r="C16" s="9">
        <f>IF(OR(Data!J16="",Data!C16=""),"",Data!J16/(Data!C16*1000))</f>
        <v/>
      </c>
      <c r="D16" s="9">
        <f>IF(OR(Data!K16=""),"",Data!K16/(Data!C16*1000))</f>
        <v/>
      </c>
      <c r="E16" s="9">
        <f>IF(OR(Data!L16=""),"",Data!L16/(Data!C16*1000))</f>
        <v/>
      </c>
      <c r="F16" s="10">
        <f>IF(OR(Data!E16=""),"",Data!M16/(Data!E16*1000))</f>
        <v/>
      </c>
      <c r="G16" s="11">
        <f>IF(OR(Data!C16=""),"",Data!M16/(Data!C16*1000))</f>
        <v/>
      </c>
      <c r="H16" s="9">
        <f>IF(OR(Data!J16=""),"",Data!M16/Data!J16)</f>
        <v/>
      </c>
      <c r="I16" s="9">
        <f>IF(OR(Data!C16="",Data!C12=""),"",Data!C16/Data!C12-1)</f>
        <v/>
      </c>
      <c r="J16" s="9">
        <f>IF(OR(Data!E16="",Data!E12=""),"",Data!E16/Data!E12-1)</f>
        <v/>
      </c>
      <c r="K16" s="9">
        <f>IF(OR(Data!J16="",Data!J12=""),"",Data!J16/Data!J12-1)</f>
        <v/>
      </c>
      <c r="L16" s="12">
        <f>SUM(Data!C13:C16)</f>
        <v/>
      </c>
      <c r="M16" s="13">
        <f>SUM(Data!M13:M16)</f>
        <v/>
      </c>
    </row>
    <row r="17">
      <c r="A17">
        <f>Data!A17</f>
        <v/>
      </c>
      <c r="B17" s="8">
        <f>IF(OR(Data!C17="",Data!E17=""),"",Data!C17/Data!E17)</f>
        <v/>
      </c>
      <c r="C17" s="9">
        <f>IF(OR(Data!J17="",Data!C17=""),"",Data!J17/(Data!C17*1000))</f>
        <v/>
      </c>
      <c r="D17" s="9">
        <f>IF(OR(Data!K17=""),"",Data!K17/(Data!C17*1000))</f>
        <v/>
      </c>
      <c r="E17" s="9">
        <f>IF(OR(Data!L17=""),"",Data!L17/(Data!C17*1000))</f>
        <v/>
      </c>
      <c r="F17" s="10">
        <f>IF(OR(Data!E17=""),"",Data!M17/(Data!E17*1000))</f>
        <v/>
      </c>
      <c r="G17" s="11">
        <f>IF(OR(Data!C17=""),"",Data!M17/(Data!C17*1000))</f>
        <v/>
      </c>
      <c r="H17" s="9">
        <f>IF(OR(Data!J17=""),"",Data!M17/Data!J17)</f>
        <v/>
      </c>
      <c r="I17" s="9">
        <f>IF(OR(Data!C17="",Data!C13=""),"",Data!C17/Data!C13-1)</f>
        <v/>
      </c>
      <c r="J17" s="9">
        <f>IF(OR(Data!E17="",Data!E13=""),"",Data!E17/Data!E13-1)</f>
        <v/>
      </c>
      <c r="K17" s="9">
        <f>IF(OR(Data!J17="",Data!J13=""),"",Data!J17/Data!J13-1)</f>
        <v/>
      </c>
      <c r="L17" s="12">
        <f>SUM(Data!C14:C17)</f>
        <v/>
      </c>
      <c r="M17" s="13">
        <f>SUM(Data!M14:M17)</f>
        <v/>
      </c>
    </row>
    <row r="18">
      <c r="A18">
        <f>Data!A18</f>
        <v/>
      </c>
      <c r="B18" s="8">
        <f>IF(OR(Data!C18="",Data!E18=""),"",Data!C18/Data!E18)</f>
        <v/>
      </c>
      <c r="C18" s="9">
        <f>IF(OR(Data!J18="",Data!C18=""),"",Data!J18/(Data!C18*1000))</f>
        <v/>
      </c>
      <c r="D18" s="9">
        <f>IF(OR(Data!K18=""),"",Data!K18/(Data!C18*1000))</f>
        <v/>
      </c>
      <c r="E18" s="9">
        <f>IF(OR(Data!L18=""),"",Data!L18/(Data!C18*1000))</f>
        <v/>
      </c>
      <c r="F18" s="10">
        <f>IF(OR(Data!E18=""),"",Data!M18/(Data!E18*1000))</f>
        <v/>
      </c>
      <c r="G18" s="11">
        <f>IF(OR(Data!C18=""),"",Data!M18/(Data!C18*1000))</f>
        <v/>
      </c>
      <c r="H18" s="9">
        <f>IF(OR(Data!J18=""),"",Data!M18/Data!J18)</f>
        <v/>
      </c>
      <c r="I18" s="9">
        <f>IF(OR(Data!C18="",Data!C14=""),"",Data!C18/Data!C14-1)</f>
        <v/>
      </c>
      <c r="J18" s="9">
        <f>IF(OR(Data!E18="",Data!E14=""),"",Data!E18/Data!E14-1)</f>
        <v/>
      </c>
      <c r="K18" s="9">
        <f>IF(OR(Data!J18="",Data!J14=""),"",Data!J18/Data!J14-1)</f>
        <v/>
      </c>
      <c r="L18" s="12">
        <f>SUM(Data!C15:C18)</f>
        <v/>
      </c>
      <c r="M18" s="13">
        <f>SUM(Data!M15:M18)</f>
        <v/>
      </c>
    </row>
    <row r="19">
      <c r="A19">
        <f>Data!A19</f>
        <v/>
      </c>
      <c r="B19" s="8">
        <f>IF(OR(Data!C19="",Data!E19=""),"",Data!C19/Data!E19)</f>
        <v/>
      </c>
      <c r="C19" s="9">
        <f>IF(OR(Data!J19="",Data!C19=""),"",Data!J19/(Data!C19*1000))</f>
        <v/>
      </c>
      <c r="D19" s="9">
        <f>IF(OR(Data!K19=""),"",Data!K19/(Data!C19*1000))</f>
        <v/>
      </c>
      <c r="E19" s="9">
        <f>IF(OR(Data!L19=""),"",Data!L19/(Data!C19*1000))</f>
        <v/>
      </c>
      <c r="F19" s="10">
        <f>IF(OR(Data!E19=""),"",Data!M19/(Data!E19*1000))</f>
        <v/>
      </c>
      <c r="G19" s="11">
        <f>IF(OR(Data!C19=""),"",Data!M19/(Data!C19*1000))</f>
        <v/>
      </c>
      <c r="H19" s="9">
        <f>IF(OR(Data!J19=""),"",Data!M19/Data!J19)</f>
        <v/>
      </c>
      <c r="I19" s="9">
        <f>IF(OR(Data!C19="",Data!C15=""),"",Data!C19/Data!C15-1)</f>
        <v/>
      </c>
      <c r="J19" s="9">
        <f>IF(OR(Data!E19="",Data!E15=""),"",Data!E19/Data!E15-1)</f>
        <v/>
      </c>
      <c r="K19" s="9">
        <f>IF(OR(Data!J19="",Data!J15=""),"",Data!J19/Data!J15-1)</f>
        <v/>
      </c>
      <c r="L19" s="12">
        <f>SUM(Data!C16:C19)</f>
        <v/>
      </c>
      <c r="M19" s="13">
        <f>SUM(Data!M16:M19)</f>
        <v/>
      </c>
    </row>
    <row r="20">
      <c r="A20">
        <f>Data!A20</f>
        <v/>
      </c>
      <c r="B20" s="8">
        <f>IF(OR(Data!C20="",Data!E20=""),"",Data!C20/Data!E20)</f>
        <v/>
      </c>
      <c r="C20" s="9">
        <f>IF(OR(Data!J20="",Data!C20=""),"",Data!J20/(Data!C20*1000))</f>
        <v/>
      </c>
      <c r="D20" s="9">
        <f>IF(OR(Data!K20=""),"",Data!K20/(Data!C20*1000))</f>
        <v/>
      </c>
      <c r="E20" s="9">
        <f>IF(OR(Data!L20=""),"",Data!L20/(Data!C20*1000))</f>
        <v/>
      </c>
      <c r="F20" s="10">
        <f>IF(OR(Data!E20=""),"",Data!M20/(Data!E20*1000))</f>
        <v/>
      </c>
      <c r="G20" s="11">
        <f>IF(OR(Data!C20=""),"",Data!M20/(Data!C20*1000))</f>
        <v/>
      </c>
      <c r="H20" s="9">
        <f>IF(OR(Data!J20=""),"",Data!M20/Data!J20)</f>
        <v/>
      </c>
      <c r="I20" s="9">
        <f>IF(OR(Data!C20="",Data!C16=""),"",Data!C20/Data!C16-1)</f>
        <v/>
      </c>
      <c r="J20" s="9">
        <f>IF(OR(Data!E20="",Data!E16=""),"",Data!E20/Data!E16-1)</f>
        <v/>
      </c>
      <c r="K20" s="9">
        <f>IF(OR(Data!J20="",Data!J16=""),"",Data!J20/Data!J16-1)</f>
        <v/>
      </c>
      <c r="L20" s="12">
        <f>SUM(Data!C17:C20)</f>
        <v/>
      </c>
      <c r="M20" s="13">
        <f>SUM(Data!M17:M20)</f>
        <v/>
      </c>
    </row>
    <row r="21">
      <c r="A21">
        <f>Data!A21</f>
        <v/>
      </c>
      <c r="B21" s="8">
        <f>IF(OR(Data!C21="",Data!E21=""),"",Data!C21/Data!E21)</f>
        <v/>
      </c>
      <c r="C21" s="9">
        <f>IF(OR(Data!J21="",Data!C21=""),"",Data!J21/(Data!C21*1000))</f>
        <v/>
      </c>
      <c r="D21" s="9">
        <f>IF(OR(Data!K21=""),"",Data!K21/(Data!C21*1000))</f>
        <v/>
      </c>
      <c r="E21" s="9">
        <f>IF(OR(Data!L21=""),"",Data!L21/(Data!C21*1000))</f>
        <v/>
      </c>
      <c r="F21" s="10">
        <f>IF(OR(Data!E21=""),"",Data!M21/(Data!E21*1000))</f>
        <v/>
      </c>
      <c r="G21" s="11">
        <f>IF(OR(Data!C21=""),"",Data!M21/(Data!C21*1000))</f>
        <v/>
      </c>
      <c r="H21" s="9">
        <f>IF(OR(Data!J21=""),"",Data!M21/Data!J21)</f>
        <v/>
      </c>
      <c r="I21" s="9">
        <f>IF(OR(Data!C21="",Data!C17=""),"",Data!C21/Data!C17-1)</f>
        <v/>
      </c>
      <c r="J21" s="9">
        <f>IF(OR(Data!E21="",Data!E17=""),"",Data!E21/Data!E17-1)</f>
        <v/>
      </c>
      <c r="K21" s="9">
        <f>IF(OR(Data!J21="",Data!J17=""),"",Data!J21/Data!J17-1)</f>
        <v/>
      </c>
      <c r="L21" s="12">
        <f>SUM(Data!C18:C21)</f>
        <v/>
      </c>
      <c r="M21" s="13">
        <f>SUM(Data!M18:M21)</f>
        <v/>
      </c>
    </row>
    <row r="22">
      <c r="A22">
        <f>Data!A22</f>
        <v/>
      </c>
      <c r="B22" s="8">
        <f>IF(OR(Data!C22="",Data!E22=""),"",Data!C22/Data!E22)</f>
        <v/>
      </c>
      <c r="C22" s="9">
        <f>IF(OR(Data!J22="",Data!C22=""),"",Data!J22/(Data!C22*1000))</f>
        <v/>
      </c>
      <c r="D22" s="9">
        <f>IF(OR(Data!K22=""),"",Data!K22/(Data!C22*1000))</f>
        <v/>
      </c>
      <c r="E22" s="9">
        <f>IF(OR(Data!L22=""),"",Data!L22/(Data!C22*1000))</f>
        <v/>
      </c>
      <c r="F22" s="10">
        <f>IF(OR(Data!E22=""),"",Data!M22/(Data!E22*1000))</f>
        <v/>
      </c>
      <c r="G22" s="11">
        <f>IF(OR(Data!C22=""),"",Data!M22/(Data!C22*1000))</f>
        <v/>
      </c>
      <c r="H22" s="9">
        <f>IF(OR(Data!J22=""),"",Data!M22/Data!J22)</f>
        <v/>
      </c>
      <c r="I22" s="9">
        <f>IF(OR(Data!C22="",Data!C18=""),"",Data!C22/Data!C18-1)</f>
        <v/>
      </c>
      <c r="J22" s="9">
        <f>IF(OR(Data!E22="",Data!E18=""),"",Data!E22/Data!E18-1)</f>
        <v/>
      </c>
      <c r="K22" s="9">
        <f>IF(OR(Data!J22="",Data!J18=""),"",Data!J22/Data!J18-1)</f>
        <v/>
      </c>
      <c r="L22" s="12">
        <f>SUM(Data!C19:C22)</f>
        <v/>
      </c>
      <c r="M22" s="13">
        <f>SUM(Data!M19:M22)</f>
        <v/>
      </c>
    </row>
    <row r="23">
      <c r="A23">
        <f>Data!A23</f>
        <v/>
      </c>
      <c r="B23" s="8">
        <f>IF(OR(Data!C23="",Data!E23=""),"",Data!C23/Data!E23)</f>
        <v/>
      </c>
      <c r="C23" s="9">
        <f>IF(OR(Data!J23="",Data!C23=""),"",Data!J23/(Data!C23*1000))</f>
        <v/>
      </c>
      <c r="D23" s="9">
        <f>IF(OR(Data!K23=""),"",Data!K23/(Data!C23*1000))</f>
        <v/>
      </c>
      <c r="E23" s="9">
        <f>IF(OR(Data!L23=""),"",Data!L23/(Data!C23*1000))</f>
        <v/>
      </c>
      <c r="F23" s="10">
        <f>IF(OR(Data!E23=""),"",Data!M23/(Data!E23*1000))</f>
        <v/>
      </c>
      <c r="G23" s="11">
        <f>IF(OR(Data!C23=""),"",Data!M23/(Data!C23*1000))</f>
        <v/>
      </c>
      <c r="H23" s="9">
        <f>IF(OR(Data!J23=""),"",Data!M23/Data!J23)</f>
        <v/>
      </c>
      <c r="I23" s="9">
        <f>IF(OR(Data!C23="",Data!C19=""),"",Data!C23/Data!C19-1)</f>
        <v/>
      </c>
      <c r="J23" s="9">
        <f>IF(OR(Data!E23="",Data!E19=""),"",Data!E23/Data!E19-1)</f>
        <v/>
      </c>
      <c r="K23" s="9">
        <f>IF(OR(Data!J23="",Data!J19=""),"",Data!J23/Data!J19-1)</f>
        <v/>
      </c>
      <c r="L23" s="12">
        <f>SUM(Data!C20:C23)</f>
        <v/>
      </c>
      <c r="M23" s="13">
        <f>SUM(Data!M20:M23)</f>
        <v/>
      </c>
    </row>
    <row r="24">
      <c r="A24">
        <f>Data!A24</f>
        <v/>
      </c>
      <c r="B24" s="8">
        <f>IF(OR(Data!C24="",Data!E24=""),"",Data!C24/Data!E24)</f>
        <v/>
      </c>
      <c r="C24" s="9">
        <f>IF(OR(Data!J24="",Data!C24=""),"",Data!J24/(Data!C24*1000))</f>
        <v/>
      </c>
      <c r="D24" s="9">
        <f>IF(OR(Data!K24=""),"",Data!K24/(Data!C24*1000))</f>
        <v/>
      </c>
      <c r="E24" s="9">
        <f>IF(OR(Data!L24=""),"",Data!L24/(Data!C24*1000))</f>
        <v/>
      </c>
      <c r="F24" s="10">
        <f>IF(OR(Data!E24=""),"",Data!M24/(Data!E24*1000))</f>
        <v/>
      </c>
      <c r="G24" s="11">
        <f>IF(OR(Data!C24=""),"",Data!M24/(Data!C24*1000))</f>
        <v/>
      </c>
      <c r="H24" s="9">
        <f>IF(OR(Data!J24=""),"",Data!M24/Data!J24)</f>
        <v/>
      </c>
      <c r="I24" s="9">
        <f>IF(OR(Data!C24="",Data!C20=""),"",Data!C24/Data!C20-1)</f>
        <v/>
      </c>
      <c r="J24" s="9">
        <f>IF(OR(Data!E24="",Data!E20=""),"",Data!E24/Data!E20-1)</f>
        <v/>
      </c>
      <c r="K24" s="9">
        <f>IF(OR(Data!J24="",Data!J20=""),"",Data!J24/Data!J20-1)</f>
        <v/>
      </c>
      <c r="L24" s="12">
        <f>SUM(Data!C21:C24)</f>
        <v/>
      </c>
      <c r="M24" s="13">
        <f>SUM(Data!M21:M24)</f>
        <v/>
      </c>
    </row>
    <row r="25">
      <c r="A25">
        <f>Data!A25</f>
        <v/>
      </c>
      <c r="B25" s="8">
        <f>IF(OR(Data!C25="",Data!E25=""),"",Data!C25/Data!E25)</f>
        <v/>
      </c>
      <c r="C25" s="9">
        <f>IF(OR(Data!J25="",Data!C25=""),"",Data!J25/(Data!C25*1000))</f>
        <v/>
      </c>
      <c r="D25" s="9">
        <f>IF(OR(Data!K25=""),"",Data!K25/(Data!C25*1000))</f>
        <v/>
      </c>
      <c r="E25" s="9">
        <f>IF(OR(Data!L25=""),"",Data!L25/(Data!C25*1000))</f>
        <v/>
      </c>
      <c r="F25" s="10">
        <f>IF(OR(Data!E25=""),"",Data!M25/(Data!E25*1000))</f>
        <v/>
      </c>
      <c r="G25" s="11">
        <f>IF(OR(Data!C25=""),"",Data!M25/(Data!C25*1000))</f>
        <v/>
      </c>
      <c r="H25" s="9">
        <f>IF(OR(Data!J25=""),"",Data!M25/Data!J25)</f>
        <v/>
      </c>
      <c r="I25" s="9">
        <f>IF(OR(Data!C25="",Data!C21=""),"",Data!C25/Data!C21-1)</f>
        <v/>
      </c>
      <c r="J25" s="9">
        <f>IF(OR(Data!E25="",Data!E21=""),"",Data!E25/Data!E21-1)</f>
        <v/>
      </c>
      <c r="K25" s="9">
        <f>IF(OR(Data!J25="",Data!J21=""),"",Data!J25/Data!J21-1)</f>
        <v/>
      </c>
      <c r="L25" s="12">
        <f>SUM(Data!C22:C25)</f>
        <v/>
      </c>
      <c r="M25" s="13">
        <f>SUM(Data!M22:M25)</f>
        <v/>
      </c>
    </row>
    <row r="26">
      <c r="A26">
        <f>Data!A26</f>
        <v/>
      </c>
      <c r="B26" s="8">
        <f>IF(OR(Data!C26="",Data!E26=""),"",Data!C26/Data!E26)</f>
        <v/>
      </c>
      <c r="C26" s="9">
        <f>IF(OR(Data!J26="",Data!C26=""),"",Data!J26/(Data!C26*1000))</f>
        <v/>
      </c>
      <c r="D26" s="9">
        <f>IF(OR(Data!K26=""),"",Data!K26/(Data!C26*1000))</f>
        <v/>
      </c>
      <c r="E26" s="9">
        <f>IF(OR(Data!L26=""),"",Data!L26/(Data!C26*1000))</f>
        <v/>
      </c>
      <c r="F26" s="10">
        <f>IF(OR(Data!E26=""),"",Data!M26/(Data!E26*1000))</f>
        <v/>
      </c>
      <c r="G26" s="11">
        <f>IF(OR(Data!C26=""),"",Data!M26/(Data!C26*1000))</f>
        <v/>
      </c>
      <c r="H26" s="9">
        <f>IF(OR(Data!J26=""),"",Data!M26/Data!J26)</f>
        <v/>
      </c>
      <c r="I26" s="9">
        <f>IF(OR(Data!C26="",Data!C22=""),"",Data!C26/Data!C22-1)</f>
        <v/>
      </c>
      <c r="J26" s="9">
        <f>IF(OR(Data!E26="",Data!E22=""),"",Data!E26/Data!E22-1)</f>
        <v/>
      </c>
      <c r="K26" s="9">
        <f>IF(OR(Data!J26="",Data!J22=""),"",Data!J26/Data!J22-1)</f>
        <v/>
      </c>
      <c r="L26" s="12">
        <f>SUM(Data!C23:C26)</f>
        <v/>
      </c>
      <c r="M26" s="13">
        <f>SUM(Data!M23:M26)</f>
        <v/>
      </c>
    </row>
    <row r="27">
      <c r="A27">
        <f>Data!A27</f>
        <v/>
      </c>
      <c r="B27" s="8">
        <f>IF(OR(Data!C27="",Data!E27=""),"",Data!C27/Data!E27)</f>
        <v/>
      </c>
      <c r="C27" s="9">
        <f>IF(OR(Data!J27="",Data!C27=""),"",Data!J27/(Data!C27*1000))</f>
        <v/>
      </c>
      <c r="D27" s="9">
        <f>IF(OR(Data!K27=""),"",Data!K27/(Data!C27*1000))</f>
        <v/>
      </c>
      <c r="E27" s="9">
        <f>IF(OR(Data!L27=""),"",Data!L27/(Data!C27*1000))</f>
        <v/>
      </c>
      <c r="F27" s="10">
        <f>IF(OR(Data!E27=""),"",Data!M27/(Data!E27*1000))</f>
        <v/>
      </c>
      <c r="G27" s="11">
        <f>IF(OR(Data!C27=""),"",Data!M27/(Data!C27*1000))</f>
        <v/>
      </c>
      <c r="H27" s="9">
        <f>IF(OR(Data!J27=""),"",Data!M27/Data!J27)</f>
        <v/>
      </c>
      <c r="I27" s="9">
        <f>IF(OR(Data!C27="",Data!C23=""),"",Data!C27/Data!C23-1)</f>
        <v/>
      </c>
      <c r="J27" s="9">
        <f>IF(OR(Data!E27="",Data!E23=""),"",Data!E27/Data!E23-1)</f>
        <v/>
      </c>
      <c r="K27" s="9">
        <f>IF(OR(Data!J27="",Data!J23=""),"",Data!J27/Data!J23-1)</f>
        <v/>
      </c>
      <c r="L27" s="12">
        <f>SUM(Data!C24:C27)</f>
        <v/>
      </c>
      <c r="M27" s="13">
        <f>SUM(Data!M24:M27)</f>
        <v/>
      </c>
    </row>
    <row r="28">
      <c r="A28">
        <f>Data!A28</f>
        <v/>
      </c>
      <c r="B28" s="8">
        <f>IF(OR(Data!C28="",Data!E28=""),"",Data!C28/Data!E28)</f>
        <v/>
      </c>
      <c r="C28" s="9">
        <f>IF(OR(Data!J28="",Data!C28=""),"",Data!J28/(Data!C28*1000))</f>
        <v/>
      </c>
      <c r="D28" s="9">
        <f>IF(OR(Data!K28=""),"",Data!K28/(Data!C28*1000))</f>
        <v/>
      </c>
      <c r="E28" s="9">
        <f>IF(OR(Data!L28=""),"",Data!L28/(Data!C28*1000))</f>
        <v/>
      </c>
      <c r="F28" s="10">
        <f>IF(OR(Data!E28=""),"",Data!M28/(Data!E28*1000))</f>
        <v/>
      </c>
      <c r="G28" s="11">
        <f>IF(OR(Data!C28=""),"",Data!M28/(Data!C28*1000))</f>
        <v/>
      </c>
      <c r="H28" s="9">
        <f>IF(OR(Data!J28=""),"",Data!M28/Data!J28)</f>
        <v/>
      </c>
      <c r="I28" s="9">
        <f>IF(OR(Data!C28="",Data!C24=""),"",Data!C28/Data!C24-1)</f>
        <v/>
      </c>
      <c r="J28" s="9">
        <f>IF(OR(Data!E28="",Data!E24=""),"",Data!E28/Data!E24-1)</f>
        <v/>
      </c>
      <c r="K28" s="9">
        <f>IF(OR(Data!J28="",Data!J24=""),"",Data!J28/Data!J24-1)</f>
        <v/>
      </c>
      <c r="L28" s="12">
        <f>SUM(Data!C25:C28)</f>
        <v/>
      </c>
      <c r="M28" s="13">
        <f>SUM(Data!M25:M28)</f>
        <v/>
      </c>
    </row>
    <row r="29">
      <c r="A29">
        <f>Data!A29</f>
        <v/>
      </c>
      <c r="B29" s="8">
        <f>IF(OR(Data!C29="",Data!E29=""),"",Data!C29/Data!E29)</f>
        <v/>
      </c>
      <c r="C29" s="9">
        <f>IF(OR(Data!J29="",Data!C29=""),"",Data!J29/(Data!C29*1000))</f>
        <v/>
      </c>
      <c r="D29" s="9">
        <f>IF(OR(Data!K29=""),"",Data!K29/(Data!C29*1000))</f>
        <v/>
      </c>
      <c r="E29" s="9">
        <f>IF(OR(Data!L29=""),"",Data!L29/(Data!C29*1000))</f>
        <v/>
      </c>
      <c r="F29" s="10">
        <f>IF(OR(Data!E29=""),"",Data!M29/(Data!E29*1000))</f>
        <v/>
      </c>
      <c r="G29" s="11">
        <f>IF(OR(Data!C29=""),"",Data!M29/(Data!C29*1000))</f>
        <v/>
      </c>
      <c r="H29" s="9">
        <f>IF(OR(Data!J29=""),"",Data!M29/Data!J29)</f>
        <v/>
      </c>
      <c r="I29" s="9">
        <f>IF(OR(Data!C29="",Data!C25=""),"",Data!C29/Data!C25-1)</f>
        <v/>
      </c>
      <c r="J29" s="9">
        <f>IF(OR(Data!E29="",Data!E25=""),"",Data!E29/Data!E25-1)</f>
        <v/>
      </c>
      <c r="K29" s="9">
        <f>IF(OR(Data!J29="",Data!J25=""),"",Data!J29/Data!J25-1)</f>
        <v/>
      </c>
      <c r="L29" s="12">
        <f>SUM(Data!C26:C29)</f>
        <v/>
      </c>
      <c r="M29" s="13">
        <f>SUM(Data!M26:M29)</f>
        <v/>
      </c>
    </row>
    <row r="30">
      <c r="A30">
        <f>Data!A30</f>
        <v/>
      </c>
      <c r="B30" s="8">
        <f>IF(OR(Data!C30="",Data!E30=""),"",Data!C30/Data!E30)</f>
        <v/>
      </c>
      <c r="C30" s="9">
        <f>IF(OR(Data!J30="",Data!C30=""),"",Data!J30/(Data!C30*1000))</f>
        <v/>
      </c>
      <c r="D30" s="9">
        <f>IF(OR(Data!K30=""),"",Data!K30/(Data!C30*1000))</f>
        <v/>
      </c>
      <c r="E30" s="9">
        <f>IF(OR(Data!L30=""),"",Data!L30/(Data!C30*1000))</f>
        <v/>
      </c>
      <c r="F30" s="10">
        <f>IF(OR(Data!E30=""),"",Data!M30/(Data!E30*1000))</f>
        <v/>
      </c>
      <c r="G30" s="11">
        <f>IF(OR(Data!C30=""),"",Data!M30/(Data!C30*1000))</f>
        <v/>
      </c>
      <c r="H30" s="9">
        <f>IF(OR(Data!J30=""),"",Data!M30/Data!J30)</f>
        <v/>
      </c>
      <c r="I30" s="9">
        <f>IF(OR(Data!C30="",Data!C26=""),"",Data!C30/Data!C26-1)</f>
        <v/>
      </c>
      <c r="J30" s="9">
        <f>IF(OR(Data!E30="",Data!E26=""),"",Data!E30/Data!E26-1)</f>
        <v/>
      </c>
      <c r="K30" s="9">
        <f>IF(OR(Data!J30="",Data!J26=""),"",Data!J30/Data!J26-1)</f>
        <v/>
      </c>
      <c r="L30" s="12">
        <f>SUM(Data!C27:C30)</f>
        <v/>
      </c>
      <c r="M30" s="13">
        <f>SUM(Data!M27:M30)</f>
        <v/>
      </c>
    </row>
    <row r="31">
      <c r="A31">
        <f>Data!A31</f>
        <v/>
      </c>
      <c r="B31" s="8">
        <f>IF(OR(Data!C31="",Data!E31=""),"",Data!C31/Data!E31)</f>
        <v/>
      </c>
      <c r="C31" s="9">
        <f>IF(OR(Data!J31="",Data!C31=""),"",Data!J31/(Data!C31*1000))</f>
        <v/>
      </c>
      <c r="D31" s="9">
        <f>IF(OR(Data!K31=""),"",Data!K31/(Data!C31*1000))</f>
        <v/>
      </c>
      <c r="E31" s="9">
        <f>IF(OR(Data!L31=""),"",Data!L31/(Data!C31*1000))</f>
        <v/>
      </c>
      <c r="F31" s="10">
        <f>IF(OR(Data!E31=""),"",Data!M31/(Data!E31*1000))</f>
        <v/>
      </c>
      <c r="G31" s="11">
        <f>IF(OR(Data!C31=""),"",Data!M31/(Data!C31*1000))</f>
        <v/>
      </c>
      <c r="H31" s="9">
        <f>IF(OR(Data!J31=""),"",Data!M31/Data!J31)</f>
        <v/>
      </c>
      <c r="I31" s="9">
        <f>IF(OR(Data!C31="",Data!C27=""),"",Data!C31/Data!C27-1)</f>
        <v/>
      </c>
      <c r="J31" s="9">
        <f>IF(OR(Data!E31="",Data!E27=""),"",Data!E31/Data!E27-1)</f>
        <v/>
      </c>
      <c r="K31" s="9">
        <f>IF(OR(Data!J31="",Data!J27=""),"",Data!J31/Data!J27-1)</f>
        <v/>
      </c>
      <c r="L31" s="12">
        <f>SUM(Data!C28:C31)</f>
        <v/>
      </c>
      <c r="M31" s="13">
        <f>SUM(Data!M28:M31)</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2" customWidth="1" min="2" max="2"/>
    <col width="14" customWidth="1" min="3" max="3"/>
    <col width="14" customWidth="1" min="4" max="4"/>
    <col width="14" customWidth="1" min="5" max="5"/>
  </cols>
  <sheetData>
    <row r="1" ht="42" customHeight="1">
      <c r="A1" s="4" t="inlineStr">
        <is>
          <t>Period</t>
        </is>
      </c>
      <c r="B1" s="4" t="inlineStr">
        <is>
          <t>Marketplace revenue YoY (= orders x AOV x take rate)</t>
        </is>
      </c>
      <c r="C1" s="4" t="inlineStr">
        <is>
          <t>Share from more orders</t>
        </is>
      </c>
      <c r="D1" s="4" t="inlineStr">
        <is>
          <t>Share from AOV</t>
        </is>
      </c>
      <c r="E1" s="4" t="inlineStr">
        <is>
          <t>Share from higher take rate</t>
        </is>
      </c>
    </row>
    <row r="2">
      <c r="A2">
        <f>Data!A2</f>
        <v/>
      </c>
      <c r="B2" s="9" t="inlineStr"/>
      <c r="C2" s="14" t="inlineStr"/>
      <c r="D2" s="14" t="inlineStr"/>
      <c r="E2" s="14" t="inlineStr"/>
    </row>
    <row r="3">
      <c r="A3">
        <f>Data!A3</f>
        <v/>
      </c>
      <c r="B3" s="9" t="inlineStr"/>
      <c r="C3" s="14" t="inlineStr"/>
      <c r="D3" s="14" t="inlineStr"/>
      <c r="E3" s="14" t="inlineStr"/>
    </row>
    <row r="4">
      <c r="A4">
        <f>Data!A4</f>
        <v/>
      </c>
      <c r="B4" s="9" t="inlineStr"/>
      <c r="C4" s="14" t="inlineStr"/>
      <c r="D4" s="14" t="inlineStr"/>
      <c r="E4" s="14" t="inlineStr"/>
    </row>
    <row r="5">
      <c r="A5">
        <f>Data!A5</f>
        <v/>
      </c>
      <c r="B5" s="9" t="inlineStr"/>
      <c r="C5" s="14" t="inlineStr"/>
      <c r="D5" s="14" t="inlineStr"/>
      <c r="E5" s="14" t="inlineStr"/>
    </row>
    <row r="6">
      <c r="A6">
        <f>Data!A6</f>
        <v/>
      </c>
      <c r="B6" s="9">
        <f>IFERROR(EXP(LN(Data!E6/Data!E2)+LN(Shopee_Metrics!B6/Shopee_Metrics!B2)+LN(Shopee_Metrics!C6/Shopee_Metrics!C2))-1,"")</f>
        <v/>
      </c>
      <c r="C6" s="14">
        <f>IFERROR(LN(Data!E6/Data!E2)/(LN(Data!E6/Data!E2)+LN(Shopee_Metrics!B6/Shopee_Metrics!B2)+LN(Shopee_Metrics!C6/Shopee_Metrics!C2)),"")</f>
        <v/>
      </c>
      <c r="D6" s="14">
        <f>IFERROR(LN(Shopee_Metrics!B6/Shopee_Metrics!B2)/(LN(Data!E6/Data!E2)+LN(Shopee_Metrics!B6/Shopee_Metrics!B2)+LN(Shopee_Metrics!C6/Shopee_Metrics!C2)),"")</f>
        <v/>
      </c>
      <c r="E6" s="14">
        <f>IFERROR(LN(Shopee_Metrics!C6/Shopee_Metrics!C2)/(LN(Data!E6/Data!E2)+LN(Shopee_Metrics!B6/Shopee_Metrics!B2)+LN(Shopee_Metrics!C6/Shopee_Metrics!C2)),"")</f>
        <v/>
      </c>
    </row>
    <row r="7">
      <c r="A7">
        <f>Data!A7</f>
        <v/>
      </c>
      <c r="B7" s="9">
        <f>IFERROR(EXP(LN(Data!E7/Data!E3)+LN(Shopee_Metrics!B7/Shopee_Metrics!B3)+LN(Shopee_Metrics!C7/Shopee_Metrics!C3))-1,"")</f>
        <v/>
      </c>
      <c r="C7" s="14">
        <f>IFERROR(LN(Data!E7/Data!E3)/(LN(Data!E7/Data!E3)+LN(Shopee_Metrics!B7/Shopee_Metrics!B3)+LN(Shopee_Metrics!C7/Shopee_Metrics!C3)),"")</f>
        <v/>
      </c>
      <c r="D7" s="14">
        <f>IFERROR(LN(Shopee_Metrics!B7/Shopee_Metrics!B3)/(LN(Data!E7/Data!E3)+LN(Shopee_Metrics!B7/Shopee_Metrics!B3)+LN(Shopee_Metrics!C7/Shopee_Metrics!C3)),"")</f>
        <v/>
      </c>
      <c r="E7" s="14">
        <f>IFERROR(LN(Shopee_Metrics!C7/Shopee_Metrics!C3)/(LN(Data!E7/Data!E3)+LN(Shopee_Metrics!B7/Shopee_Metrics!B3)+LN(Shopee_Metrics!C7/Shopee_Metrics!C3)),"")</f>
        <v/>
      </c>
    </row>
    <row r="8">
      <c r="A8">
        <f>Data!A8</f>
        <v/>
      </c>
      <c r="B8" s="9">
        <f>IFERROR(EXP(LN(Data!E8/Data!E4)+LN(Shopee_Metrics!B8/Shopee_Metrics!B4)+LN(Shopee_Metrics!C8/Shopee_Metrics!C4))-1,"")</f>
        <v/>
      </c>
      <c r="C8" s="14">
        <f>IFERROR(LN(Data!E8/Data!E4)/(LN(Data!E8/Data!E4)+LN(Shopee_Metrics!B8/Shopee_Metrics!B4)+LN(Shopee_Metrics!C8/Shopee_Metrics!C4)),"")</f>
        <v/>
      </c>
      <c r="D8" s="14">
        <f>IFERROR(LN(Shopee_Metrics!B8/Shopee_Metrics!B4)/(LN(Data!E8/Data!E4)+LN(Shopee_Metrics!B8/Shopee_Metrics!B4)+LN(Shopee_Metrics!C8/Shopee_Metrics!C4)),"")</f>
        <v/>
      </c>
      <c r="E8" s="14">
        <f>IFERROR(LN(Shopee_Metrics!C8/Shopee_Metrics!C4)/(LN(Data!E8/Data!E4)+LN(Shopee_Metrics!B8/Shopee_Metrics!B4)+LN(Shopee_Metrics!C8/Shopee_Metrics!C4)),"")</f>
        <v/>
      </c>
    </row>
    <row r="9">
      <c r="A9">
        <f>Data!A9</f>
        <v/>
      </c>
      <c r="B9" s="9">
        <f>IFERROR(EXP(LN(Data!E9/Data!E5)+LN(Shopee_Metrics!B9/Shopee_Metrics!B5)+LN(Shopee_Metrics!C9/Shopee_Metrics!C5))-1,"")</f>
        <v/>
      </c>
      <c r="C9" s="14">
        <f>IFERROR(LN(Data!E9/Data!E5)/(LN(Data!E9/Data!E5)+LN(Shopee_Metrics!B9/Shopee_Metrics!B5)+LN(Shopee_Metrics!C9/Shopee_Metrics!C5)),"")</f>
        <v/>
      </c>
      <c r="D9" s="14">
        <f>IFERROR(LN(Shopee_Metrics!B9/Shopee_Metrics!B5)/(LN(Data!E9/Data!E5)+LN(Shopee_Metrics!B9/Shopee_Metrics!B5)+LN(Shopee_Metrics!C9/Shopee_Metrics!C5)),"")</f>
        <v/>
      </c>
      <c r="E9" s="14">
        <f>IFERROR(LN(Shopee_Metrics!C9/Shopee_Metrics!C5)/(LN(Data!E9/Data!E5)+LN(Shopee_Metrics!B9/Shopee_Metrics!B5)+LN(Shopee_Metrics!C9/Shopee_Metrics!C5)),"")</f>
        <v/>
      </c>
    </row>
    <row r="10">
      <c r="A10">
        <f>Data!A10</f>
        <v/>
      </c>
      <c r="B10" s="9">
        <f>IFERROR(EXP(LN(Data!E10/Data!E6)+LN(Shopee_Metrics!B10/Shopee_Metrics!B6)+LN(Shopee_Metrics!C10/Shopee_Metrics!C6))-1,"")</f>
        <v/>
      </c>
      <c r="C10" s="14">
        <f>IFERROR(LN(Data!E10/Data!E6)/(LN(Data!E10/Data!E6)+LN(Shopee_Metrics!B10/Shopee_Metrics!B6)+LN(Shopee_Metrics!C10/Shopee_Metrics!C6)),"")</f>
        <v/>
      </c>
      <c r="D10" s="14">
        <f>IFERROR(LN(Shopee_Metrics!B10/Shopee_Metrics!B6)/(LN(Data!E10/Data!E6)+LN(Shopee_Metrics!B10/Shopee_Metrics!B6)+LN(Shopee_Metrics!C10/Shopee_Metrics!C6)),"")</f>
        <v/>
      </c>
      <c r="E10" s="14">
        <f>IFERROR(LN(Shopee_Metrics!C10/Shopee_Metrics!C6)/(LN(Data!E10/Data!E6)+LN(Shopee_Metrics!B10/Shopee_Metrics!B6)+LN(Shopee_Metrics!C10/Shopee_Metrics!C6)),"")</f>
        <v/>
      </c>
    </row>
    <row r="11">
      <c r="A11">
        <f>Data!A11</f>
        <v/>
      </c>
      <c r="B11" s="9">
        <f>IFERROR(EXP(LN(Data!E11/Data!E7)+LN(Shopee_Metrics!B11/Shopee_Metrics!B7)+LN(Shopee_Metrics!C11/Shopee_Metrics!C7))-1,"")</f>
        <v/>
      </c>
      <c r="C11" s="14">
        <f>IFERROR(LN(Data!E11/Data!E7)/(LN(Data!E11/Data!E7)+LN(Shopee_Metrics!B11/Shopee_Metrics!B7)+LN(Shopee_Metrics!C11/Shopee_Metrics!C7)),"")</f>
        <v/>
      </c>
      <c r="D11" s="14">
        <f>IFERROR(LN(Shopee_Metrics!B11/Shopee_Metrics!B7)/(LN(Data!E11/Data!E7)+LN(Shopee_Metrics!B11/Shopee_Metrics!B7)+LN(Shopee_Metrics!C11/Shopee_Metrics!C7)),"")</f>
        <v/>
      </c>
      <c r="E11" s="14">
        <f>IFERROR(LN(Shopee_Metrics!C11/Shopee_Metrics!C7)/(LN(Data!E11/Data!E7)+LN(Shopee_Metrics!B11/Shopee_Metrics!B7)+LN(Shopee_Metrics!C11/Shopee_Metrics!C7)),"")</f>
        <v/>
      </c>
    </row>
    <row r="12">
      <c r="A12">
        <f>Data!A12</f>
        <v/>
      </c>
      <c r="B12" s="9">
        <f>IFERROR(EXP(LN(Data!E12/Data!E8)+LN(Shopee_Metrics!B12/Shopee_Metrics!B8)+LN(Shopee_Metrics!C12/Shopee_Metrics!C8))-1,"")</f>
        <v/>
      </c>
      <c r="C12" s="14">
        <f>IFERROR(LN(Data!E12/Data!E8)/(LN(Data!E12/Data!E8)+LN(Shopee_Metrics!B12/Shopee_Metrics!B8)+LN(Shopee_Metrics!C12/Shopee_Metrics!C8)),"")</f>
        <v/>
      </c>
      <c r="D12" s="14">
        <f>IFERROR(LN(Shopee_Metrics!B12/Shopee_Metrics!B8)/(LN(Data!E12/Data!E8)+LN(Shopee_Metrics!B12/Shopee_Metrics!B8)+LN(Shopee_Metrics!C12/Shopee_Metrics!C8)),"")</f>
        <v/>
      </c>
      <c r="E12" s="14">
        <f>IFERROR(LN(Shopee_Metrics!C12/Shopee_Metrics!C8)/(LN(Data!E12/Data!E8)+LN(Shopee_Metrics!B12/Shopee_Metrics!B8)+LN(Shopee_Metrics!C12/Shopee_Metrics!C8)),"")</f>
        <v/>
      </c>
    </row>
    <row r="13">
      <c r="A13">
        <f>Data!A13</f>
        <v/>
      </c>
      <c r="B13" s="9">
        <f>IFERROR(EXP(LN(Data!E13/Data!E9)+LN(Shopee_Metrics!B13/Shopee_Metrics!B9)+LN(Shopee_Metrics!C13/Shopee_Metrics!C9))-1,"")</f>
        <v/>
      </c>
      <c r="C13" s="14">
        <f>IFERROR(LN(Data!E13/Data!E9)/(LN(Data!E13/Data!E9)+LN(Shopee_Metrics!B13/Shopee_Metrics!B9)+LN(Shopee_Metrics!C13/Shopee_Metrics!C9)),"")</f>
        <v/>
      </c>
      <c r="D13" s="14">
        <f>IFERROR(LN(Shopee_Metrics!B13/Shopee_Metrics!B9)/(LN(Data!E13/Data!E9)+LN(Shopee_Metrics!B13/Shopee_Metrics!B9)+LN(Shopee_Metrics!C13/Shopee_Metrics!C9)),"")</f>
        <v/>
      </c>
      <c r="E13" s="14">
        <f>IFERROR(LN(Shopee_Metrics!C13/Shopee_Metrics!C9)/(LN(Data!E13/Data!E9)+LN(Shopee_Metrics!B13/Shopee_Metrics!B9)+LN(Shopee_Metrics!C13/Shopee_Metrics!C9)),"")</f>
        <v/>
      </c>
    </row>
    <row r="14">
      <c r="A14">
        <f>Data!A14</f>
        <v/>
      </c>
      <c r="B14" s="9">
        <f>IFERROR(EXP(LN(Data!E14/Data!E10)+LN(Shopee_Metrics!B14/Shopee_Metrics!B10)+LN(Shopee_Metrics!C14/Shopee_Metrics!C10))-1,"")</f>
        <v/>
      </c>
      <c r="C14" s="14">
        <f>IFERROR(LN(Data!E14/Data!E10)/(LN(Data!E14/Data!E10)+LN(Shopee_Metrics!B14/Shopee_Metrics!B10)+LN(Shopee_Metrics!C14/Shopee_Metrics!C10)),"")</f>
        <v/>
      </c>
      <c r="D14" s="14">
        <f>IFERROR(LN(Shopee_Metrics!B14/Shopee_Metrics!B10)/(LN(Data!E14/Data!E10)+LN(Shopee_Metrics!B14/Shopee_Metrics!B10)+LN(Shopee_Metrics!C14/Shopee_Metrics!C10)),"")</f>
        <v/>
      </c>
      <c r="E14" s="14">
        <f>IFERROR(LN(Shopee_Metrics!C14/Shopee_Metrics!C10)/(LN(Data!E14/Data!E10)+LN(Shopee_Metrics!B14/Shopee_Metrics!B10)+LN(Shopee_Metrics!C14/Shopee_Metrics!C10)),"")</f>
        <v/>
      </c>
    </row>
    <row r="15">
      <c r="A15">
        <f>Data!A15</f>
        <v/>
      </c>
      <c r="B15" s="9">
        <f>IFERROR(EXP(LN(Data!E15/Data!E11)+LN(Shopee_Metrics!B15/Shopee_Metrics!B11)+LN(Shopee_Metrics!C15/Shopee_Metrics!C11))-1,"")</f>
        <v/>
      </c>
      <c r="C15" s="14">
        <f>IFERROR(LN(Data!E15/Data!E11)/(LN(Data!E15/Data!E11)+LN(Shopee_Metrics!B15/Shopee_Metrics!B11)+LN(Shopee_Metrics!C15/Shopee_Metrics!C11)),"")</f>
        <v/>
      </c>
      <c r="D15" s="14">
        <f>IFERROR(LN(Shopee_Metrics!B15/Shopee_Metrics!B11)/(LN(Data!E15/Data!E11)+LN(Shopee_Metrics!B15/Shopee_Metrics!B11)+LN(Shopee_Metrics!C15/Shopee_Metrics!C11)),"")</f>
        <v/>
      </c>
      <c r="E15" s="14">
        <f>IFERROR(LN(Shopee_Metrics!C15/Shopee_Metrics!C11)/(LN(Data!E15/Data!E11)+LN(Shopee_Metrics!B15/Shopee_Metrics!B11)+LN(Shopee_Metrics!C15/Shopee_Metrics!C11)),"")</f>
        <v/>
      </c>
    </row>
    <row r="16">
      <c r="A16">
        <f>Data!A16</f>
        <v/>
      </c>
      <c r="B16" s="9">
        <f>IFERROR(EXP(LN(Data!E16/Data!E12)+LN(Shopee_Metrics!B16/Shopee_Metrics!B12)+LN(Shopee_Metrics!C16/Shopee_Metrics!C12))-1,"")</f>
        <v/>
      </c>
      <c r="C16" s="14">
        <f>IFERROR(LN(Data!E16/Data!E12)/(LN(Data!E16/Data!E12)+LN(Shopee_Metrics!B16/Shopee_Metrics!B12)+LN(Shopee_Metrics!C16/Shopee_Metrics!C12)),"")</f>
        <v/>
      </c>
      <c r="D16" s="14">
        <f>IFERROR(LN(Shopee_Metrics!B16/Shopee_Metrics!B12)/(LN(Data!E16/Data!E12)+LN(Shopee_Metrics!B16/Shopee_Metrics!B12)+LN(Shopee_Metrics!C16/Shopee_Metrics!C12)),"")</f>
        <v/>
      </c>
      <c r="E16" s="14">
        <f>IFERROR(LN(Shopee_Metrics!C16/Shopee_Metrics!C12)/(LN(Data!E16/Data!E12)+LN(Shopee_Metrics!B16/Shopee_Metrics!B12)+LN(Shopee_Metrics!C16/Shopee_Metrics!C12)),"")</f>
        <v/>
      </c>
    </row>
    <row r="17">
      <c r="A17">
        <f>Data!A17</f>
        <v/>
      </c>
      <c r="B17" s="9">
        <f>IFERROR(EXP(LN(Data!E17/Data!E13)+LN(Shopee_Metrics!B17/Shopee_Metrics!B13)+LN(Shopee_Metrics!C17/Shopee_Metrics!C13))-1,"")</f>
        <v/>
      </c>
      <c r="C17" s="14">
        <f>IFERROR(LN(Data!E17/Data!E13)/(LN(Data!E17/Data!E13)+LN(Shopee_Metrics!B17/Shopee_Metrics!B13)+LN(Shopee_Metrics!C17/Shopee_Metrics!C13)),"")</f>
        <v/>
      </c>
      <c r="D17" s="14">
        <f>IFERROR(LN(Shopee_Metrics!B17/Shopee_Metrics!B13)/(LN(Data!E17/Data!E13)+LN(Shopee_Metrics!B17/Shopee_Metrics!B13)+LN(Shopee_Metrics!C17/Shopee_Metrics!C13)),"")</f>
        <v/>
      </c>
      <c r="E17" s="14">
        <f>IFERROR(LN(Shopee_Metrics!C17/Shopee_Metrics!C13)/(LN(Data!E17/Data!E13)+LN(Shopee_Metrics!B17/Shopee_Metrics!B13)+LN(Shopee_Metrics!C17/Shopee_Metrics!C13)),"")</f>
        <v/>
      </c>
    </row>
    <row r="18">
      <c r="A18">
        <f>Data!A18</f>
        <v/>
      </c>
      <c r="B18" s="9">
        <f>IFERROR(EXP(LN(Data!E18/Data!E14)+LN(Shopee_Metrics!B18/Shopee_Metrics!B14)+LN(Shopee_Metrics!C18/Shopee_Metrics!C14))-1,"")</f>
        <v/>
      </c>
      <c r="C18" s="14">
        <f>IFERROR(LN(Data!E18/Data!E14)/(LN(Data!E18/Data!E14)+LN(Shopee_Metrics!B18/Shopee_Metrics!B14)+LN(Shopee_Metrics!C18/Shopee_Metrics!C14)),"")</f>
        <v/>
      </c>
      <c r="D18" s="14">
        <f>IFERROR(LN(Shopee_Metrics!B18/Shopee_Metrics!B14)/(LN(Data!E18/Data!E14)+LN(Shopee_Metrics!B18/Shopee_Metrics!B14)+LN(Shopee_Metrics!C18/Shopee_Metrics!C14)),"")</f>
        <v/>
      </c>
      <c r="E18" s="14">
        <f>IFERROR(LN(Shopee_Metrics!C18/Shopee_Metrics!C14)/(LN(Data!E18/Data!E14)+LN(Shopee_Metrics!B18/Shopee_Metrics!B14)+LN(Shopee_Metrics!C18/Shopee_Metrics!C14)),"")</f>
        <v/>
      </c>
    </row>
    <row r="19">
      <c r="A19">
        <f>Data!A19</f>
        <v/>
      </c>
      <c r="B19" s="9">
        <f>IFERROR(EXP(LN(Data!E19/Data!E15)+LN(Shopee_Metrics!B19/Shopee_Metrics!B15)+LN(Shopee_Metrics!C19/Shopee_Metrics!C15))-1,"")</f>
        <v/>
      </c>
      <c r="C19" s="14">
        <f>IFERROR(LN(Data!E19/Data!E15)/(LN(Data!E19/Data!E15)+LN(Shopee_Metrics!B19/Shopee_Metrics!B15)+LN(Shopee_Metrics!C19/Shopee_Metrics!C15)),"")</f>
        <v/>
      </c>
      <c r="D19" s="14">
        <f>IFERROR(LN(Shopee_Metrics!B19/Shopee_Metrics!B15)/(LN(Data!E19/Data!E15)+LN(Shopee_Metrics!B19/Shopee_Metrics!B15)+LN(Shopee_Metrics!C19/Shopee_Metrics!C15)),"")</f>
        <v/>
      </c>
      <c r="E19" s="14">
        <f>IFERROR(LN(Shopee_Metrics!C19/Shopee_Metrics!C15)/(LN(Data!E19/Data!E15)+LN(Shopee_Metrics!B19/Shopee_Metrics!B15)+LN(Shopee_Metrics!C19/Shopee_Metrics!C15)),"")</f>
        <v/>
      </c>
    </row>
    <row r="20">
      <c r="A20">
        <f>Data!A20</f>
        <v/>
      </c>
      <c r="B20" s="9">
        <f>IFERROR(EXP(LN(Data!E20/Data!E16)+LN(Shopee_Metrics!B20/Shopee_Metrics!B16)+LN(Shopee_Metrics!C20/Shopee_Metrics!C16))-1,"")</f>
        <v/>
      </c>
      <c r="C20" s="14">
        <f>IFERROR(LN(Data!E20/Data!E16)/(LN(Data!E20/Data!E16)+LN(Shopee_Metrics!B20/Shopee_Metrics!B16)+LN(Shopee_Metrics!C20/Shopee_Metrics!C16)),"")</f>
        <v/>
      </c>
      <c r="D20" s="14">
        <f>IFERROR(LN(Shopee_Metrics!B20/Shopee_Metrics!B16)/(LN(Data!E20/Data!E16)+LN(Shopee_Metrics!B20/Shopee_Metrics!B16)+LN(Shopee_Metrics!C20/Shopee_Metrics!C16)),"")</f>
        <v/>
      </c>
      <c r="E20" s="14">
        <f>IFERROR(LN(Shopee_Metrics!C20/Shopee_Metrics!C16)/(LN(Data!E20/Data!E16)+LN(Shopee_Metrics!B20/Shopee_Metrics!B16)+LN(Shopee_Metrics!C20/Shopee_Metrics!C16)),"")</f>
        <v/>
      </c>
    </row>
    <row r="21">
      <c r="A21">
        <f>Data!A21</f>
        <v/>
      </c>
      <c r="B21" s="9">
        <f>IFERROR(EXP(LN(Data!E21/Data!E17)+LN(Shopee_Metrics!B21/Shopee_Metrics!B17)+LN(Shopee_Metrics!C21/Shopee_Metrics!C17))-1,"")</f>
        <v/>
      </c>
      <c r="C21" s="14">
        <f>IFERROR(LN(Data!E21/Data!E17)/(LN(Data!E21/Data!E17)+LN(Shopee_Metrics!B21/Shopee_Metrics!B17)+LN(Shopee_Metrics!C21/Shopee_Metrics!C17)),"")</f>
        <v/>
      </c>
      <c r="D21" s="14">
        <f>IFERROR(LN(Shopee_Metrics!B21/Shopee_Metrics!B17)/(LN(Data!E21/Data!E17)+LN(Shopee_Metrics!B21/Shopee_Metrics!B17)+LN(Shopee_Metrics!C21/Shopee_Metrics!C17)),"")</f>
        <v/>
      </c>
      <c r="E21" s="14">
        <f>IFERROR(LN(Shopee_Metrics!C21/Shopee_Metrics!C17)/(LN(Data!E21/Data!E17)+LN(Shopee_Metrics!B21/Shopee_Metrics!B17)+LN(Shopee_Metrics!C21/Shopee_Metrics!C17)),"")</f>
        <v/>
      </c>
    </row>
    <row r="22">
      <c r="A22">
        <f>Data!A22</f>
        <v/>
      </c>
      <c r="B22" s="9">
        <f>IFERROR(EXP(LN(Data!E22/Data!E18)+LN(Shopee_Metrics!B22/Shopee_Metrics!B18)+LN(Shopee_Metrics!C22/Shopee_Metrics!C18))-1,"")</f>
        <v/>
      </c>
      <c r="C22" s="14">
        <f>IFERROR(LN(Data!E22/Data!E18)/(LN(Data!E22/Data!E18)+LN(Shopee_Metrics!B22/Shopee_Metrics!B18)+LN(Shopee_Metrics!C22/Shopee_Metrics!C18)),"")</f>
        <v/>
      </c>
      <c r="D22" s="14">
        <f>IFERROR(LN(Shopee_Metrics!B22/Shopee_Metrics!B18)/(LN(Data!E22/Data!E18)+LN(Shopee_Metrics!B22/Shopee_Metrics!B18)+LN(Shopee_Metrics!C22/Shopee_Metrics!C18)),"")</f>
        <v/>
      </c>
      <c r="E22" s="14">
        <f>IFERROR(LN(Shopee_Metrics!C22/Shopee_Metrics!C18)/(LN(Data!E22/Data!E18)+LN(Shopee_Metrics!B22/Shopee_Metrics!B18)+LN(Shopee_Metrics!C22/Shopee_Metrics!C18)),"")</f>
        <v/>
      </c>
    </row>
    <row r="23">
      <c r="A23">
        <f>Data!A23</f>
        <v/>
      </c>
      <c r="B23" s="9">
        <f>IFERROR(EXP(LN(Data!E23/Data!E19)+LN(Shopee_Metrics!B23/Shopee_Metrics!B19)+LN(Shopee_Metrics!C23/Shopee_Metrics!C19))-1,"")</f>
        <v/>
      </c>
      <c r="C23" s="14">
        <f>IFERROR(LN(Data!E23/Data!E19)/(LN(Data!E23/Data!E19)+LN(Shopee_Metrics!B23/Shopee_Metrics!B19)+LN(Shopee_Metrics!C23/Shopee_Metrics!C19)),"")</f>
        <v/>
      </c>
      <c r="D23" s="14">
        <f>IFERROR(LN(Shopee_Metrics!B23/Shopee_Metrics!B19)/(LN(Data!E23/Data!E19)+LN(Shopee_Metrics!B23/Shopee_Metrics!B19)+LN(Shopee_Metrics!C23/Shopee_Metrics!C19)),"")</f>
        <v/>
      </c>
      <c r="E23" s="14">
        <f>IFERROR(LN(Shopee_Metrics!C23/Shopee_Metrics!C19)/(LN(Data!E23/Data!E19)+LN(Shopee_Metrics!B23/Shopee_Metrics!B19)+LN(Shopee_Metrics!C23/Shopee_Metrics!C19)),"")</f>
        <v/>
      </c>
    </row>
    <row r="24">
      <c r="A24">
        <f>Data!A24</f>
        <v/>
      </c>
      <c r="B24" s="9">
        <f>IFERROR(EXP(LN(Data!E24/Data!E20)+LN(Shopee_Metrics!B24/Shopee_Metrics!B20)+LN(Shopee_Metrics!C24/Shopee_Metrics!C20))-1,"")</f>
        <v/>
      </c>
      <c r="C24" s="14">
        <f>IFERROR(LN(Data!E24/Data!E20)/(LN(Data!E24/Data!E20)+LN(Shopee_Metrics!B24/Shopee_Metrics!B20)+LN(Shopee_Metrics!C24/Shopee_Metrics!C20)),"")</f>
        <v/>
      </c>
      <c r="D24" s="14">
        <f>IFERROR(LN(Shopee_Metrics!B24/Shopee_Metrics!B20)/(LN(Data!E24/Data!E20)+LN(Shopee_Metrics!B24/Shopee_Metrics!B20)+LN(Shopee_Metrics!C24/Shopee_Metrics!C20)),"")</f>
        <v/>
      </c>
      <c r="E24" s="14">
        <f>IFERROR(LN(Shopee_Metrics!C24/Shopee_Metrics!C20)/(LN(Data!E24/Data!E20)+LN(Shopee_Metrics!B24/Shopee_Metrics!B20)+LN(Shopee_Metrics!C24/Shopee_Metrics!C20)),"")</f>
        <v/>
      </c>
    </row>
    <row r="25">
      <c r="A25">
        <f>Data!A25</f>
        <v/>
      </c>
      <c r="B25" s="9">
        <f>IFERROR(EXP(LN(Data!E25/Data!E21)+LN(Shopee_Metrics!B25/Shopee_Metrics!B21)+LN(Shopee_Metrics!C25/Shopee_Metrics!C21))-1,"")</f>
        <v/>
      </c>
      <c r="C25" s="14">
        <f>IFERROR(LN(Data!E25/Data!E21)/(LN(Data!E25/Data!E21)+LN(Shopee_Metrics!B25/Shopee_Metrics!B21)+LN(Shopee_Metrics!C25/Shopee_Metrics!C21)),"")</f>
        <v/>
      </c>
      <c r="D25" s="14">
        <f>IFERROR(LN(Shopee_Metrics!B25/Shopee_Metrics!B21)/(LN(Data!E25/Data!E21)+LN(Shopee_Metrics!B25/Shopee_Metrics!B21)+LN(Shopee_Metrics!C25/Shopee_Metrics!C21)),"")</f>
        <v/>
      </c>
      <c r="E25" s="14">
        <f>IFERROR(LN(Shopee_Metrics!C25/Shopee_Metrics!C21)/(LN(Data!E25/Data!E21)+LN(Shopee_Metrics!B25/Shopee_Metrics!B21)+LN(Shopee_Metrics!C25/Shopee_Metrics!C21)),"")</f>
        <v/>
      </c>
    </row>
    <row r="26">
      <c r="A26">
        <f>Data!A26</f>
        <v/>
      </c>
      <c r="B26" s="9">
        <f>IFERROR(EXP(LN(Data!E26/Data!E22)+LN(Shopee_Metrics!B26/Shopee_Metrics!B22)+LN(Shopee_Metrics!C26/Shopee_Metrics!C22))-1,"")</f>
        <v/>
      </c>
      <c r="C26" s="14">
        <f>IFERROR(LN(Data!E26/Data!E22)/(LN(Data!E26/Data!E22)+LN(Shopee_Metrics!B26/Shopee_Metrics!B22)+LN(Shopee_Metrics!C26/Shopee_Metrics!C22)),"")</f>
        <v/>
      </c>
      <c r="D26" s="14">
        <f>IFERROR(LN(Shopee_Metrics!B26/Shopee_Metrics!B22)/(LN(Data!E26/Data!E22)+LN(Shopee_Metrics!B26/Shopee_Metrics!B22)+LN(Shopee_Metrics!C26/Shopee_Metrics!C22)),"")</f>
        <v/>
      </c>
      <c r="E26" s="14">
        <f>IFERROR(LN(Shopee_Metrics!C26/Shopee_Metrics!C22)/(LN(Data!E26/Data!E22)+LN(Shopee_Metrics!B26/Shopee_Metrics!B22)+LN(Shopee_Metrics!C26/Shopee_Metrics!C22)),"")</f>
        <v/>
      </c>
    </row>
    <row r="27">
      <c r="A27">
        <f>Data!A27</f>
        <v/>
      </c>
      <c r="B27" s="9">
        <f>IFERROR(EXP(LN(Data!E27/Data!E23)+LN(Shopee_Metrics!B27/Shopee_Metrics!B23)+LN(Shopee_Metrics!C27/Shopee_Metrics!C23))-1,"")</f>
        <v/>
      </c>
      <c r="C27" s="14">
        <f>IFERROR(LN(Data!E27/Data!E23)/(LN(Data!E27/Data!E23)+LN(Shopee_Metrics!B27/Shopee_Metrics!B23)+LN(Shopee_Metrics!C27/Shopee_Metrics!C23)),"")</f>
        <v/>
      </c>
      <c r="D27" s="14">
        <f>IFERROR(LN(Shopee_Metrics!B27/Shopee_Metrics!B23)/(LN(Data!E27/Data!E23)+LN(Shopee_Metrics!B27/Shopee_Metrics!B23)+LN(Shopee_Metrics!C27/Shopee_Metrics!C23)),"")</f>
        <v/>
      </c>
      <c r="E27" s="14">
        <f>IFERROR(LN(Shopee_Metrics!C27/Shopee_Metrics!C23)/(LN(Data!E27/Data!E23)+LN(Shopee_Metrics!B27/Shopee_Metrics!B23)+LN(Shopee_Metrics!C27/Shopee_Metrics!C23)),"")</f>
        <v/>
      </c>
    </row>
    <row r="28">
      <c r="A28">
        <f>Data!A28</f>
        <v/>
      </c>
      <c r="B28" s="9">
        <f>IFERROR(EXP(LN(Data!E28/Data!E24)+LN(Shopee_Metrics!B28/Shopee_Metrics!B24)+LN(Shopee_Metrics!C28/Shopee_Metrics!C24))-1,"")</f>
        <v/>
      </c>
      <c r="C28" s="14">
        <f>IFERROR(LN(Data!E28/Data!E24)/(LN(Data!E28/Data!E24)+LN(Shopee_Metrics!B28/Shopee_Metrics!B24)+LN(Shopee_Metrics!C28/Shopee_Metrics!C24)),"")</f>
        <v/>
      </c>
      <c r="D28" s="14">
        <f>IFERROR(LN(Shopee_Metrics!B28/Shopee_Metrics!B24)/(LN(Data!E28/Data!E24)+LN(Shopee_Metrics!B28/Shopee_Metrics!B24)+LN(Shopee_Metrics!C28/Shopee_Metrics!C24)),"")</f>
        <v/>
      </c>
      <c r="E28" s="14">
        <f>IFERROR(LN(Shopee_Metrics!C28/Shopee_Metrics!C24)/(LN(Data!E28/Data!E24)+LN(Shopee_Metrics!B28/Shopee_Metrics!B24)+LN(Shopee_Metrics!C28/Shopee_Metrics!C24)),"")</f>
        <v/>
      </c>
    </row>
    <row r="29">
      <c r="A29">
        <f>Data!A29</f>
        <v/>
      </c>
      <c r="B29" s="9">
        <f>IFERROR(EXP(LN(Data!E29/Data!E25)+LN(Shopee_Metrics!B29/Shopee_Metrics!B25)+LN(Shopee_Metrics!C29/Shopee_Metrics!C25))-1,"")</f>
        <v/>
      </c>
      <c r="C29" s="14">
        <f>IFERROR(LN(Data!E29/Data!E25)/(LN(Data!E29/Data!E25)+LN(Shopee_Metrics!B29/Shopee_Metrics!B25)+LN(Shopee_Metrics!C29/Shopee_Metrics!C25)),"")</f>
        <v/>
      </c>
      <c r="D29" s="14">
        <f>IFERROR(LN(Shopee_Metrics!B29/Shopee_Metrics!B25)/(LN(Data!E29/Data!E25)+LN(Shopee_Metrics!B29/Shopee_Metrics!B25)+LN(Shopee_Metrics!C29/Shopee_Metrics!C25)),"")</f>
        <v/>
      </c>
      <c r="E29" s="14">
        <f>IFERROR(LN(Shopee_Metrics!C29/Shopee_Metrics!C25)/(LN(Data!E29/Data!E25)+LN(Shopee_Metrics!B29/Shopee_Metrics!B25)+LN(Shopee_Metrics!C29/Shopee_Metrics!C25)),"")</f>
        <v/>
      </c>
    </row>
    <row r="30">
      <c r="A30">
        <f>Data!A30</f>
        <v/>
      </c>
      <c r="B30" s="9">
        <f>IFERROR(EXP(LN(Data!E30/Data!E26)+LN(Shopee_Metrics!B30/Shopee_Metrics!B26)+LN(Shopee_Metrics!C30/Shopee_Metrics!C26))-1,"")</f>
        <v/>
      </c>
      <c r="C30" s="14">
        <f>IFERROR(LN(Data!E30/Data!E26)/(LN(Data!E30/Data!E26)+LN(Shopee_Metrics!B30/Shopee_Metrics!B26)+LN(Shopee_Metrics!C30/Shopee_Metrics!C26)),"")</f>
        <v/>
      </c>
      <c r="D30" s="14">
        <f>IFERROR(LN(Shopee_Metrics!B30/Shopee_Metrics!B26)/(LN(Data!E30/Data!E26)+LN(Shopee_Metrics!B30/Shopee_Metrics!B26)+LN(Shopee_Metrics!C30/Shopee_Metrics!C26)),"")</f>
        <v/>
      </c>
      <c r="E30" s="14">
        <f>IFERROR(LN(Shopee_Metrics!C30/Shopee_Metrics!C26)/(LN(Data!E30/Data!E26)+LN(Shopee_Metrics!B30/Shopee_Metrics!B26)+LN(Shopee_Metrics!C30/Shopee_Metrics!C26)),"")</f>
        <v/>
      </c>
    </row>
    <row r="31">
      <c r="A31">
        <f>Data!A31</f>
        <v/>
      </c>
      <c r="B31" s="9">
        <f>IFERROR(EXP(LN(Data!E31/Data!E27)+LN(Shopee_Metrics!B31/Shopee_Metrics!B27)+LN(Shopee_Metrics!C31/Shopee_Metrics!C27))-1,"")</f>
        <v/>
      </c>
      <c r="C31" s="14">
        <f>IFERROR(LN(Data!E31/Data!E27)/(LN(Data!E31/Data!E27)+LN(Shopee_Metrics!B31/Shopee_Metrics!B27)+LN(Shopee_Metrics!C31/Shopee_Metrics!C27)),"")</f>
        <v/>
      </c>
      <c r="D31" s="14">
        <f>IFERROR(LN(Shopee_Metrics!B31/Shopee_Metrics!B27)/(LN(Data!E31/Data!E27)+LN(Shopee_Metrics!B31/Shopee_Metrics!B27)+LN(Shopee_Metrics!C31/Shopee_Metrics!C27)),"")</f>
        <v/>
      </c>
      <c r="E31" s="14">
        <f>IFERROR(LN(Shopee_Metrics!C31/Shopee_Metrics!C27)/(LN(Data!E31/Data!E27)+LN(Shopee_Metrics!B31/Shopee_Metrics!B27)+LN(Shopee_Metrics!C31/Shopee_Metrics!C27)),"")</f>
        <v/>
      </c>
    </row>
    <row r="33">
      <c r="A33" s="15" t="inlineStr">
        <is>
          <t>Method: log decomposition of YoY marketplace revenue growth, ln(R/R-4) = ln(orders ratio) + ln(AOV ratio) + ln(take-rate ratio); each share = its log term / total log growth.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34" customWidth="1" min="6" max="6"/>
    <col width="14" customWidth="1" min="7" max="7"/>
    <col width="14" customWidth="1" min="8" max="8"/>
    <col width="14" customWidth="1" min="9" max="9"/>
    <col width="14" customWidth="1" min="10" max="10"/>
    <col width="20" customWidth="1" min="11" max="11"/>
  </cols>
  <sheetData>
    <row r="1" ht="42" customHeight="1">
      <c r="A1" s="4" t="inlineStr">
        <is>
          <t>Period</t>
        </is>
      </c>
      <c r="B1" s="4" t="inlineStr">
        <is>
          <t>Monee revenue (US$ m)</t>
        </is>
      </c>
      <c r="C1" s="4" t="inlineStr">
        <is>
          <t>Monee adj. EBITDA (US$ m)</t>
        </is>
      </c>
      <c r="D1" s="4" t="inlineStr">
        <is>
          <t>Adj. EBITDA margin</t>
        </is>
      </c>
      <c r="E1" s="4" t="inlineStr">
        <is>
          <t>Loans (US$ bn)</t>
        </is>
      </c>
      <c r="F1" s="4" t="inlineStr">
        <is>
          <t>Loan basis</t>
        </is>
      </c>
      <c r="G1" s="4" t="inlineStr">
        <is>
          <t>Loan YoY (same basis only)</t>
        </is>
      </c>
      <c r="H1" s="4" t="inlineStr">
        <is>
          <t>NPL 90+ days %</t>
        </is>
      </c>
      <c r="I1" s="4" t="inlineStr">
        <is>
          <t>NPL as reported (bounds)</t>
        </is>
      </c>
      <c r="J1" s="4" t="inlineStr">
        <is>
          <t>Approx. NPL amount (US$ m)</t>
        </is>
      </c>
      <c r="K1" s="4" t="inlineStr">
        <is>
          <t>NPL vs loans 4Q earlier (seasoning view)</t>
        </is>
      </c>
    </row>
    <row r="2">
      <c r="A2">
        <f>Data!A2</f>
        <v/>
      </c>
      <c r="B2" s="13">
        <f>IF(Data!N2="","",Data!N2)</f>
        <v/>
      </c>
      <c r="C2" s="13">
        <f>Data!O2</f>
        <v/>
      </c>
      <c r="D2" s="9">
        <f>IF(OR(Data!N2=""),"",Data!O2/Data!N2)</f>
        <v/>
      </c>
      <c r="E2" s="12">
        <f>IF(Data!P2="","",Data!P2)</f>
        <v/>
      </c>
      <c r="F2" s="16">
        <f>IF(Data!Q2="","",Data!Q2)</f>
        <v/>
      </c>
      <c r="G2" s="9" t="inlineStr"/>
      <c r="H2" s="9">
        <f>IF(Data!R2="","",Data!R2/100)</f>
        <v/>
      </c>
      <c r="I2" s="16">
        <f>IF(Data!S2="","",Data!S2)</f>
        <v/>
      </c>
      <c r="J2" s="17">
        <f>IF(OR(Data!R2="",Data!P2=""),"",Data!R2/100*Data!P2*1000)</f>
        <v/>
      </c>
      <c r="K2" s="9" t="inlineStr"/>
    </row>
    <row r="3">
      <c r="A3">
        <f>Data!A3</f>
        <v/>
      </c>
      <c r="B3" s="13">
        <f>IF(Data!N3="","",Data!N3)</f>
        <v/>
      </c>
      <c r="C3" s="13">
        <f>Data!O3</f>
        <v/>
      </c>
      <c r="D3" s="9">
        <f>IF(OR(Data!N3=""),"",Data!O3/Data!N3)</f>
        <v/>
      </c>
      <c r="E3" s="12">
        <f>IF(Data!P3="","",Data!P3)</f>
        <v/>
      </c>
      <c r="F3" s="16">
        <f>IF(Data!Q3="","",Data!Q3)</f>
        <v/>
      </c>
      <c r="G3" s="9" t="inlineStr"/>
      <c r="H3" s="9">
        <f>IF(Data!R3="","",Data!R3/100)</f>
        <v/>
      </c>
      <c r="I3" s="16">
        <f>IF(Data!S3="","",Data!S3)</f>
        <v/>
      </c>
      <c r="J3" s="17">
        <f>IF(OR(Data!R3="",Data!P3=""),"",Data!R3/100*Data!P3*1000)</f>
        <v/>
      </c>
      <c r="K3" s="9" t="inlineStr"/>
    </row>
    <row r="4">
      <c r="A4">
        <f>Data!A4</f>
        <v/>
      </c>
      <c r="B4" s="13">
        <f>IF(Data!N4="","",Data!N4)</f>
        <v/>
      </c>
      <c r="C4" s="13">
        <f>Data!O4</f>
        <v/>
      </c>
      <c r="D4" s="9">
        <f>IF(OR(Data!N4=""),"",Data!O4/Data!N4)</f>
        <v/>
      </c>
      <c r="E4" s="12">
        <f>IF(Data!P4="","",Data!P4)</f>
        <v/>
      </c>
      <c r="F4" s="16">
        <f>IF(Data!Q4="","",Data!Q4)</f>
        <v/>
      </c>
      <c r="G4" s="9" t="inlineStr"/>
      <c r="H4" s="9">
        <f>IF(Data!R4="","",Data!R4/100)</f>
        <v/>
      </c>
      <c r="I4" s="16">
        <f>IF(Data!S4="","",Data!S4)</f>
        <v/>
      </c>
      <c r="J4" s="17">
        <f>IF(OR(Data!R4="",Data!P4=""),"",Data!R4/100*Data!P4*1000)</f>
        <v/>
      </c>
      <c r="K4" s="9" t="inlineStr"/>
    </row>
    <row r="5">
      <c r="A5">
        <f>Data!A5</f>
        <v/>
      </c>
      <c r="B5" s="13">
        <f>IF(Data!N5="","",Data!N5)</f>
        <v/>
      </c>
      <c r="C5" s="13">
        <f>Data!O5</f>
        <v/>
      </c>
      <c r="D5" s="9">
        <f>IF(OR(Data!N5=""),"",Data!O5/Data!N5)</f>
        <v/>
      </c>
      <c r="E5" s="12">
        <f>IF(Data!P5="","",Data!P5)</f>
        <v/>
      </c>
      <c r="F5" s="16">
        <f>IF(Data!Q5="","",Data!Q5)</f>
        <v/>
      </c>
      <c r="G5" s="9" t="inlineStr"/>
      <c r="H5" s="9">
        <f>IF(Data!R5="","",Data!R5/100)</f>
        <v/>
      </c>
      <c r="I5" s="16">
        <f>IF(Data!S5="","",Data!S5)</f>
        <v/>
      </c>
      <c r="J5" s="17">
        <f>IF(OR(Data!R5="",Data!P5=""),"",Data!R5/100*Data!P5*1000)</f>
        <v/>
      </c>
      <c r="K5" s="9" t="inlineStr"/>
    </row>
    <row r="6">
      <c r="A6">
        <f>Data!A6</f>
        <v/>
      </c>
      <c r="B6" s="13">
        <f>IF(Data!N6="","",Data!N6)</f>
        <v/>
      </c>
      <c r="C6" s="13">
        <f>Data!O6</f>
        <v/>
      </c>
      <c r="D6" s="9">
        <f>IF(OR(Data!N6=""),"",Data!O6/Data!N6)</f>
        <v/>
      </c>
      <c r="E6" s="12">
        <f>IF(Data!P6="","",Data!P6)</f>
        <v/>
      </c>
      <c r="F6" s="16">
        <f>IF(Data!Q6="","",Data!Q6)</f>
        <v/>
      </c>
      <c r="G6" s="9">
        <f>IF(OR(Data!P6="",Data!P2="",Data!Q6&lt;&gt;Data!Q2),"",Data!P6/Data!P2-1)</f>
        <v/>
      </c>
      <c r="H6" s="9">
        <f>IF(Data!R6="","",Data!R6/100)</f>
        <v/>
      </c>
      <c r="I6" s="16">
        <f>IF(Data!S6="","",Data!S6)</f>
        <v/>
      </c>
      <c r="J6" s="17">
        <f>IF(OR(Data!R6="",Data!P6=""),"",Data!R6/100*Data!P6*1000)</f>
        <v/>
      </c>
      <c r="K6" s="9">
        <f>IF(OR(Data!R6="",Data!P2="",Data!Q6&lt;&gt;Data!Q2),"",Data!R6/100*Data!P6/Data!P2)</f>
        <v/>
      </c>
    </row>
    <row r="7">
      <c r="A7">
        <f>Data!A7</f>
        <v/>
      </c>
      <c r="B7" s="13">
        <f>IF(Data!N7="","",Data!N7)</f>
        <v/>
      </c>
      <c r="C7" s="13">
        <f>Data!O7</f>
        <v/>
      </c>
      <c r="D7" s="9">
        <f>IF(OR(Data!N7=""),"",Data!O7/Data!N7)</f>
        <v/>
      </c>
      <c r="E7" s="12">
        <f>IF(Data!P7="","",Data!P7)</f>
        <v/>
      </c>
      <c r="F7" s="16">
        <f>IF(Data!Q7="","",Data!Q7)</f>
        <v/>
      </c>
      <c r="G7" s="9">
        <f>IF(OR(Data!P7="",Data!P3="",Data!Q7&lt;&gt;Data!Q3),"",Data!P7/Data!P3-1)</f>
        <v/>
      </c>
      <c r="H7" s="9">
        <f>IF(Data!R7="","",Data!R7/100)</f>
        <v/>
      </c>
      <c r="I7" s="16">
        <f>IF(Data!S7="","",Data!S7)</f>
        <v/>
      </c>
      <c r="J7" s="17">
        <f>IF(OR(Data!R7="",Data!P7=""),"",Data!R7/100*Data!P7*1000)</f>
        <v/>
      </c>
      <c r="K7" s="9">
        <f>IF(OR(Data!R7="",Data!P3="",Data!Q7&lt;&gt;Data!Q3),"",Data!R7/100*Data!P7/Data!P3)</f>
        <v/>
      </c>
    </row>
    <row r="8">
      <c r="A8">
        <f>Data!A8</f>
        <v/>
      </c>
      <c r="B8" s="13">
        <f>IF(Data!N8="","",Data!N8)</f>
        <v/>
      </c>
      <c r="C8" s="13">
        <f>Data!O8</f>
        <v/>
      </c>
      <c r="D8" s="9">
        <f>IF(OR(Data!N8=""),"",Data!O8/Data!N8)</f>
        <v/>
      </c>
      <c r="E8" s="12">
        <f>IF(Data!P8="","",Data!P8)</f>
        <v/>
      </c>
      <c r="F8" s="16">
        <f>IF(Data!Q8="","",Data!Q8)</f>
        <v/>
      </c>
      <c r="G8" s="9">
        <f>IF(OR(Data!P8="",Data!P4="",Data!Q8&lt;&gt;Data!Q4),"",Data!P8/Data!P4-1)</f>
        <v/>
      </c>
      <c r="H8" s="9">
        <f>IF(Data!R8="","",Data!R8/100)</f>
        <v/>
      </c>
      <c r="I8" s="16">
        <f>IF(Data!S8="","",Data!S8)</f>
        <v/>
      </c>
      <c r="J8" s="17">
        <f>IF(OR(Data!R8="",Data!P8=""),"",Data!R8/100*Data!P8*1000)</f>
        <v/>
      </c>
      <c r="K8" s="9">
        <f>IF(OR(Data!R8="",Data!P4="",Data!Q8&lt;&gt;Data!Q4),"",Data!R8/100*Data!P8/Data!P4)</f>
        <v/>
      </c>
    </row>
    <row r="9">
      <c r="A9">
        <f>Data!A9</f>
        <v/>
      </c>
      <c r="B9" s="13">
        <f>IF(Data!N9="","",Data!N9)</f>
        <v/>
      </c>
      <c r="C9" s="13">
        <f>Data!O9</f>
        <v/>
      </c>
      <c r="D9" s="9">
        <f>IF(OR(Data!N9=""),"",Data!O9/Data!N9)</f>
        <v/>
      </c>
      <c r="E9" s="12">
        <f>IF(Data!P9="","",Data!P9)</f>
        <v/>
      </c>
      <c r="F9" s="16">
        <f>IF(Data!Q9="","",Data!Q9)</f>
        <v/>
      </c>
      <c r="G9" s="9">
        <f>IF(OR(Data!P9="",Data!P5="",Data!Q9&lt;&gt;Data!Q5),"",Data!P9/Data!P5-1)</f>
        <v/>
      </c>
      <c r="H9" s="9">
        <f>IF(Data!R9="","",Data!R9/100)</f>
        <v/>
      </c>
      <c r="I9" s="16">
        <f>IF(Data!S9="","",Data!S9)</f>
        <v/>
      </c>
      <c r="J9" s="17">
        <f>IF(OR(Data!R9="",Data!P9=""),"",Data!R9/100*Data!P9*1000)</f>
        <v/>
      </c>
      <c r="K9" s="9">
        <f>IF(OR(Data!R9="",Data!P5="",Data!Q9&lt;&gt;Data!Q5),"",Data!R9/100*Data!P9/Data!P5)</f>
        <v/>
      </c>
    </row>
    <row r="10">
      <c r="A10">
        <f>Data!A10</f>
        <v/>
      </c>
      <c r="B10" s="13">
        <f>IF(Data!N10="","",Data!N10)</f>
        <v/>
      </c>
      <c r="C10" s="13">
        <f>Data!O10</f>
        <v/>
      </c>
      <c r="D10" s="9">
        <f>IF(OR(Data!N10=""),"",Data!O10/Data!N10)</f>
        <v/>
      </c>
      <c r="E10" s="12">
        <f>IF(Data!P10="","",Data!P10)</f>
        <v/>
      </c>
      <c r="F10" s="16">
        <f>IF(Data!Q10="","",Data!Q10)</f>
        <v/>
      </c>
      <c r="G10" s="9">
        <f>IF(OR(Data!P10="",Data!P6="",Data!Q10&lt;&gt;Data!Q6),"",Data!P10/Data!P6-1)</f>
        <v/>
      </c>
      <c r="H10" s="9">
        <f>IF(Data!R10="","",Data!R10/100)</f>
        <v/>
      </c>
      <c r="I10" s="16">
        <f>IF(Data!S10="","",Data!S10)</f>
        <v/>
      </c>
      <c r="J10" s="17">
        <f>IF(OR(Data!R10="",Data!P10=""),"",Data!R10/100*Data!P10*1000)</f>
        <v/>
      </c>
      <c r="K10" s="9">
        <f>IF(OR(Data!R10="",Data!P6="",Data!Q10&lt;&gt;Data!Q6),"",Data!R10/100*Data!P10/Data!P6)</f>
        <v/>
      </c>
    </row>
    <row r="11">
      <c r="A11">
        <f>Data!A11</f>
        <v/>
      </c>
      <c r="B11" s="13">
        <f>IF(Data!N11="","",Data!N11)</f>
        <v/>
      </c>
      <c r="C11" s="13">
        <f>Data!O11</f>
        <v/>
      </c>
      <c r="D11" s="9">
        <f>IF(OR(Data!N11=""),"",Data!O11/Data!N11)</f>
        <v/>
      </c>
      <c r="E11" s="12">
        <f>IF(Data!P11="","",Data!P11)</f>
        <v/>
      </c>
      <c r="F11" s="16">
        <f>IF(Data!Q11="","",Data!Q11)</f>
        <v/>
      </c>
      <c r="G11" s="9">
        <f>IF(OR(Data!P11="",Data!P7="",Data!Q11&lt;&gt;Data!Q7),"",Data!P11/Data!P7-1)</f>
        <v/>
      </c>
      <c r="H11" s="9">
        <f>IF(Data!R11="","",Data!R11/100)</f>
        <v/>
      </c>
      <c r="I11" s="16">
        <f>IF(Data!S11="","",Data!S11)</f>
        <v/>
      </c>
      <c r="J11" s="17">
        <f>IF(OR(Data!R11="",Data!P11=""),"",Data!R11/100*Data!P11*1000)</f>
        <v/>
      </c>
      <c r="K11" s="9">
        <f>IF(OR(Data!R11="",Data!P7="",Data!Q11&lt;&gt;Data!Q7),"",Data!R11/100*Data!P11/Data!P7)</f>
        <v/>
      </c>
    </row>
    <row r="12">
      <c r="A12">
        <f>Data!A12</f>
        <v/>
      </c>
      <c r="B12" s="13">
        <f>IF(Data!N12="","",Data!N12)</f>
        <v/>
      </c>
      <c r="C12" s="13">
        <f>Data!O12</f>
        <v/>
      </c>
      <c r="D12" s="9">
        <f>IF(OR(Data!N12=""),"",Data!O12/Data!N12)</f>
        <v/>
      </c>
      <c r="E12" s="12">
        <f>IF(Data!P12="","",Data!P12)</f>
        <v/>
      </c>
      <c r="F12" s="16">
        <f>IF(Data!Q12="","",Data!Q12)</f>
        <v/>
      </c>
      <c r="G12" s="9">
        <f>IF(OR(Data!P12="",Data!P8="",Data!Q12&lt;&gt;Data!Q8),"",Data!P12/Data!P8-1)</f>
        <v/>
      </c>
      <c r="H12" s="9">
        <f>IF(Data!R12="","",Data!R12/100)</f>
        <v/>
      </c>
      <c r="I12" s="16">
        <f>IF(Data!S12="","",Data!S12)</f>
        <v/>
      </c>
      <c r="J12" s="17">
        <f>IF(OR(Data!R12="",Data!P12=""),"",Data!R12/100*Data!P12*1000)</f>
        <v/>
      </c>
      <c r="K12" s="9">
        <f>IF(OR(Data!R12="",Data!P8="",Data!Q12&lt;&gt;Data!Q8),"",Data!R12/100*Data!P12/Data!P8)</f>
        <v/>
      </c>
    </row>
    <row r="13">
      <c r="A13">
        <f>Data!A13</f>
        <v/>
      </c>
      <c r="B13" s="13">
        <f>IF(Data!N13="","",Data!N13)</f>
        <v/>
      </c>
      <c r="C13" s="13">
        <f>Data!O13</f>
        <v/>
      </c>
      <c r="D13" s="9">
        <f>IF(OR(Data!N13=""),"",Data!O13/Data!N13)</f>
        <v/>
      </c>
      <c r="E13" s="12">
        <f>IF(Data!P13="","",Data!P13)</f>
        <v/>
      </c>
      <c r="F13" s="16">
        <f>IF(Data!Q13="","",Data!Q13)</f>
        <v/>
      </c>
      <c r="G13" s="9">
        <f>IF(OR(Data!P13="",Data!P9="",Data!Q13&lt;&gt;Data!Q9),"",Data!P13/Data!P9-1)</f>
        <v/>
      </c>
      <c r="H13" s="9">
        <f>IF(Data!R13="","",Data!R13/100)</f>
        <v/>
      </c>
      <c r="I13" s="16">
        <f>IF(Data!S13="","",Data!S13)</f>
        <v/>
      </c>
      <c r="J13" s="17">
        <f>IF(OR(Data!R13="",Data!P13=""),"",Data!R13/100*Data!P13*1000)</f>
        <v/>
      </c>
      <c r="K13" s="9">
        <f>IF(OR(Data!R13="",Data!P9="",Data!Q13&lt;&gt;Data!Q9),"",Data!R13/100*Data!P13/Data!P9)</f>
        <v/>
      </c>
    </row>
    <row r="14">
      <c r="A14">
        <f>Data!A14</f>
        <v/>
      </c>
      <c r="B14" s="13">
        <f>IF(Data!N14="","",Data!N14)</f>
        <v/>
      </c>
      <c r="C14" s="13">
        <f>Data!O14</f>
        <v/>
      </c>
      <c r="D14" s="9">
        <f>IF(OR(Data!N14=""),"",Data!O14/Data!N14)</f>
        <v/>
      </c>
      <c r="E14" s="12">
        <f>IF(Data!P14="","",Data!P14)</f>
        <v/>
      </c>
      <c r="F14" s="16">
        <f>IF(Data!Q14="","",Data!Q14)</f>
        <v/>
      </c>
      <c r="G14" s="9">
        <f>IF(OR(Data!P14="",Data!P10="",Data!Q14&lt;&gt;Data!Q10),"",Data!P14/Data!P10-1)</f>
        <v/>
      </c>
      <c r="H14" s="9">
        <f>IF(Data!R14="","",Data!R14/100)</f>
        <v/>
      </c>
      <c r="I14" s="16">
        <f>IF(Data!S14="","",Data!S14)</f>
        <v/>
      </c>
      <c r="J14" s="17">
        <f>IF(OR(Data!R14="",Data!P14=""),"",Data!R14/100*Data!P14*1000)</f>
        <v/>
      </c>
      <c r="K14" s="9">
        <f>IF(OR(Data!R14="",Data!P10="",Data!Q14&lt;&gt;Data!Q10),"",Data!R14/100*Data!P14/Data!P10)</f>
        <v/>
      </c>
    </row>
    <row r="15">
      <c r="A15">
        <f>Data!A15</f>
        <v/>
      </c>
      <c r="B15" s="13">
        <f>IF(Data!N15="","",Data!N15)</f>
        <v/>
      </c>
      <c r="C15" s="13">
        <f>Data!O15</f>
        <v/>
      </c>
      <c r="D15" s="9">
        <f>IF(OR(Data!N15=""),"",Data!O15/Data!N15)</f>
        <v/>
      </c>
      <c r="E15" s="12">
        <f>IF(Data!P15="","",Data!P15)</f>
        <v/>
      </c>
      <c r="F15" s="16">
        <f>IF(Data!Q15="","",Data!Q15)</f>
        <v/>
      </c>
      <c r="G15" s="9">
        <f>IF(OR(Data!P15="",Data!P11="",Data!Q15&lt;&gt;Data!Q11),"",Data!P15/Data!P11-1)</f>
        <v/>
      </c>
      <c r="H15" s="9">
        <f>IF(Data!R15="","",Data!R15/100)</f>
        <v/>
      </c>
      <c r="I15" s="16">
        <f>IF(Data!S15="","",Data!S15)</f>
        <v/>
      </c>
      <c r="J15" s="17">
        <f>IF(OR(Data!R15="",Data!P15=""),"",Data!R15/100*Data!P15*1000)</f>
        <v/>
      </c>
      <c r="K15" s="9">
        <f>IF(OR(Data!R15="",Data!P11="",Data!Q15&lt;&gt;Data!Q11),"",Data!R15/100*Data!P15/Data!P11)</f>
        <v/>
      </c>
    </row>
    <row r="16">
      <c r="A16">
        <f>Data!A16</f>
        <v/>
      </c>
      <c r="B16" s="13">
        <f>IF(Data!N16="","",Data!N16)</f>
        <v/>
      </c>
      <c r="C16" s="13">
        <f>Data!O16</f>
        <v/>
      </c>
      <c r="D16" s="9">
        <f>IF(OR(Data!N16=""),"",Data!O16/Data!N16)</f>
        <v/>
      </c>
      <c r="E16" s="12">
        <f>IF(Data!P16="","",Data!P16)</f>
        <v/>
      </c>
      <c r="F16" s="16">
        <f>IF(Data!Q16="","",Data!Q16)</f>
        <v/>
      </c>
      <c r="G16" s="9">
        <f>IF(OR(Data!P16="",Data!P12="",Data!Q16&lt;&gt;Data!Q12),"",Data!P16/Data!P12-1)</f>
        <v/>
      </c>
      <c r="H16" s="9">
        <f>IF(Data!R16="","",Data!R16/100)</f>
        <v/>
      </c>
      <c r="I16" s="16">
        <f>IF(Data!S16="","",Data!S16)</f>
        <v/>
      </c>
      <c r="J16" s="17">
        <f>IF(OR(Data!R16="",Data!P16=""),"",Data!R16/100*Data!P16*1000)</f>
        <v/>
      </c>
      <c r="K16" s="9">
        <f>IF(OR(Data!R16="",Data!P12="",Data!Q16&lt;&gt;Data!Q12),"",Data!R16/100*Data!P16/Data!P12)</f>
        <v/>
      </c>
    </row>
    <row r="17">
      <c r="A17">
        <f>Data!A17</f>
        <v/>
      </c>
      <c r="B17" s="13">
        <f>IF(Data!N17="","",Data!N17)</f>
        <v/>
      </c>
      <c r="C17" s="13">
        <f>Data!O17</f>
        <v/>
      </c>
      <c r="D17" s="9">
        <f>IF(OR(Data!N17=""),"",Data!O17/Data!N17)</f>
        <v/>
      </c>
      <c r="E17" s="12">
        <f>IF(Data!P17="","",Data!P17)</f>
        <v/>
      </c>
      <c r="F17" s="16">
        <f>IF(Data!Q17="","",Data!Q17)</f>
        <v/>
      </c>
      <c r="G17" s="9">
        <f>IF(OR(Data!P17="",Data!P13="",Data!Q17&lt;&gt;Data!Q13),"",Data!P17/Data!P13-1)</f>
        <v/>
      </c>
      <c r="H17" s="9">
        <f>IF(Data!R17="","",Data!R17/100)</f>
        <v/>
      </c>
      <c r="I17" s="16">
        <f>IF(Data!S17="","",Data!S17)</f>
        <v/>
      </c>
      <c r="J17" s="17">
        <f>IF(OR(Data!R17="",Data!P17=""),"",Data!R17/100*Data!P17*1000)</f>
        <v/>
      </c>
      <c r="K17" s="9">
        <f>IF(OR(Data!R17="",Data!P13="",Data!Q17&lt;&gt;Data!Q13),"",Data!R17/100*Data!P17/Data!P13)</f>
        <v/>
      </c>
    </row>
    <row r="18">
      <c r="A18">
        <f>Data!A18</f>
        <v/>
      </c>
      <c r="B18" s="13">
        <f>IF(Data!N18="","",Data!N18)</f>
        <v/>
      </c>
      <c r="C18" s="13">
        <f>Data!O18</f>
        <v/>
      </c>
      <c r="D18" s="9">
        <f>IF(OR(Data!N18=""),"",Data!O18/Data!N18)</f>
        <v/>
      </c>
      <c r="E18" s="12">
        <f>IF(Data!P18="","",Data!P18)</f>
        <v/>
      </c>
      <c r="F18" s="16">
        <f>IF(Data!Q18="","",Data!Q18)</f>
        <v/>
      </c>
      <c r="G18" s="9">
        <f>IF(OR(Data!P18="",Data!P14="",Data!Q18&lt;&gt;Data!Q14),"",Data!P18/Data!P14-1)</f>
        <v/>
      </c>
      <c r="H18" s="9">
        <f>IF(Data!R18="","",Data!R18/100)</f>
        <v/>
      </c>
      <c r="I18" s="16">
        <f>IF(Data!S18="","",Data!S18)</f>
        <v/>
      </c>
      <c r="J18" s="17">
        <f>IF(OR(Data!R18="",Data!P18=""),"",Data!R18/100*Data!P18*1000)</f>
        <v/>
      </c>
      <c r="K18" s="9">
        <f>IF(OR(Data!R18="",Data!P14="",Data!Q18&lt;&gt;Data!Q14),"",Data!R18/100*Data!P18/Data!P14)</f>
        <v/>
      </c>
    </row>
    <row r="19">
      <c r="A19">
        <f>Data!A19</f>
        <v/>
      </c>
      <c r="B19" s="13">
        <f>IF(Data!N19="","",Data!N19)</f>
        <v/>
      </c>
      <c r="C19" s="13">
        <f>Data!O19</f>
        <v/>
      </c>
      <c r="D19" s="9">
        <f>IF(OR(Data!N19=""),"",Data!O19/Data!N19)</f>
        <v/>
      </c>
      <c r="E19" s="12">
        <f>IF(Data!P19="","",Data!P19)</f>
        <v/>
      </c>
      <c r="F19" s="16">
        <f>IF(Data!Q19="","",Data!Q19)</f>
        <v/>
      </c>
      <c r="G19" s="9">
        <f>IF(OR(Data!P19="",Data!P15="",Data!Q19&lt;&gt;Data!Q15),"",Data!P19/Data!P15-1)</f>
        <v/>
      </c>
      <c r="H19" s="9">
        <f>IF(Data!R19="","",Data!R19/100)</f>
        <v/>
      </c>
      <c r="I19" s="16">
        <f>IF(Data!S19="","",Data!S19)</f>
        <v/>
      </c>
      <c r="J19" s="17">
        <f>IF(OR(Data!R19="",Data!P19=""),"",Data!R19/100*Data!P19*1000)</f>
        <v/>
      </c>
      <c r="K19" s="9">
        <f>IF(OR(Data!R19="",Data!P15="",Data!Q19&lt;&gt;Data!Q15),"",Data!R19/100*Data!P19/Data!P15)</f>
        <v/>
      </c>
    </row>
    <row r="20">
      <c r="A20">
        <f>Data!A20</f>
        <v/>
      </c>
      <c r="B20" s="13">
        <f>IF(Data!N20="","",Data!N20)</f>
        <v/>
      </c>
      <c r="C20" s="13">
        <f>Data!O20</f>
        <v/>
      </c>
      <c r="D20" s="9">
        <f>IF(OR(Data!N20=""),"",Data!O20/Data!N20)</f>
        <v/>
      </c>
      <c r="E20" s="12">
        <f>IF(Data!P20="","",Data!P20)</f>
        <v/>
      </c>
      <c r="F20" s="16">
        <f>IF(Data!Q20="","",Data!Q20)</f>
        <v/>
      </c>
      <c r="G20" s="9">
        <f>IF(OR(Data!P20="",Data!P16="",Data!Q20&lt;&gt;Data!Q16),"",Data!P20/Data!P16-1)</f>
        <v/>
      </c>
      <c r="H20" s="9">
        <f>IF(Data!R20="","",Data!R20/100)</f>
        <v/>
      </c>
      <c r="I20" s="16">
        <f>IF(Data!S20="","",Data!S20)</f>
        <v/>
      </c>
      <c r="J20" s="17">
        <f>IF(OR(Data!R20="",Data!P20=""),"",Data!R20/100*Data!P20*1000)</f>
        <v/>
      </c>
      <c r="K20" s="9">
        <f>IF(OR(Data!R20="",Data!P16="",Data!Q20&lt;&gt;Data!Q16),"",Data!R20/100*Data!P20/Data!P16)</f>
        <v/>
      </c>
    </row>
    <row r="21">
      <c r="A21">
        <f>Data!A21</f>
        <v/>
      </c>
      <c r="B21" s="13">
        <f>IF(Data!N21="","",Data!N21)</f>
        <v/>
      </c>
      <c r="C21" s="13">
        <f>Data!O21</f>
        <v/>
      </c>
      <c r="D21" s="9">
        <f>IF(OR(Data!N21=""),"",Data!O21/Data!N21)</f>
        <v/>
      </c>
      <c r="E21" s="12">
        <f>IF(Data!P21="","",Data!P21)</f>
        <v/>
      </c>
      <c r="F21" s="16">
        <f>IF(Data!Q21="","",Data!Q21)</f>
        <v/>
      </c>
      <c r="G21" s="9">
        <f>IF(OR(Data!P21="",Data!P17="",Data!Q21&lt;&gt;Data!Q17),"",Data!P21/Data!P17-1)</f>
        <v/>
      </c>
      <c r="H21" s="9">
        <f>IF(Data!R21="","",Data!R21/100)</f>
        <v/>
      </c>
      <c r="I21" s="16">
        <f>IF(Data!S21="","",Data!S21)</f>
        <v/>
      </c>
      <c r="J21" s="17">
        <f>IF(OR(Data!R21="",Data!P21=""),"",Data!R21/100*Data!P21*1000)</f>
        <v/>
      </c>
      <c r="K21" s="9">
        <f>IF(OR(Data!R21="",Data!P17="",Data!Q21&lt;&gt;Data!Q17),"",Data!R21/100*Data!P21/Data!P17)</f>
        <v/>
      </c>
    </row>
    <row r="22">
      <c r="A22">
        <f>Data!A22</f>
        <v/>
      </c>
      <c r="B22" s="13">
        <f>IF(Data!N22="","",Data!N22)</f>
        <v/>
      </c>
      <c r="C22" s="13">
        <f>Data!O22</f>
        <v/>
      </c>
      <c r="D22" s="9">
        <f>IF(OR(Data!N22=""),"",Data!O22/Data!N22)</f>
        <v/>
      </c>
      <c r="E22" s="12">
        <f>IF(Data!P22="","",Data!P22)</f>
        <v/>
      </c>
      <c r="F22" s="16">
        <f>IF(Data!Q22="","",Data!Q22)</f>
        <v/>
      </c>
      <c r="G22" s="9">
        <f>IF(OR(Data!P22="",Data!P18="",Data!Q22&lt;&gt;Data!Q18),"",Data!P22/Data!P18-1)</f>
        <v/>
      </c>
      <c r="H22" s="9">
        <f>IF(Data!R22="","",Data!R22/100)</f>
        <v/>
      </c>
      <c r="I22" s="16">
        <f>IF(Data!S22="","",Data!S22)</f>
        <v/>
      </c>
      <c r="J22" s="17">
        <f>IF(OR(Data!R22="",Data!P22=""),"",Data!R22/100*Data!P22*1000)</f>
        <v/>
      </c>
      <c r="K22" s="9">
        <f>IF(OR(Data!R22="",Data!P18="",Data!Q22&lt;&gt;Data!Q18),"",Data!R22/100*Data!P22/Data!P18)</f>
        <v/>
      </c>
    </row>
    <row r="23">
      <c r="A23">
        <f>Data!A23</f>
        <v/>
      </c>
      <c r="B23" s="13">
        <f>IF(Data!N23="","",Data!N23)</f>
        <v/>
      </c>
      <c r="C23" s="13">
        <f>Data!O23</f>
        <v/>
      </c>
      <c r="D23" s="9">
        <f>IF(OR(Data!N23=""),"",Data!O23/Data!N23)</f>
        <v/>
      </c>
      <c r="E23" s="12">
        <f>IF(Data!P23="","",Data!P23)</f>
        <v/>
      </c>
      <c r="F23" s="16">
        <f>IF(Data!Q23="","",Data!Q23)</f>
        <v/>
      </c>
      <c r="G23" s="9">
        <f>IF(OR(Data!P23="",Data!P19="",Data!Q23&lt;&gt;Data!Q19),"",Data!P23/Data!P19-1)</f>
        <v/>
      </c>
      <c r="H23" s="9">
        <f>IF(Data!R23="","",Data!R23/100)</f>
        <v/>
      </c>
      <c r="I23" s="16">
        <f>IF(Data!S23="","",Data!S23)</f>
        <v/>
      </c>
      <c r="J23" s="17">
        <f>IF(OR(Data!R23="",Data!P23=""),"",Data!R23/100*Data!P23*1000)</f>
        <v/>
      </c>
      <c r="K23" s="9">
        <f>IF(OR(Data!R23="",Data!P19="",Data!Q23&lt;&gt;Data!Q19),"",Data!R23/100*Data!P23/Data!P19)</f>
        <v/>
      </c>
    </row>
    <row r="24">
      <c r="A24">
        <f>Data!A24</f>
        <v/>
      </c>
      <c r="B24" s="13">
        <f>IF(Data!N24="","",Data!N24)</f>
        <v/>
      </c>
      <c r="C24" s="13">
        <f>Data!O24</f>
        <v/>
      </c>
      <c r="D24" s="9">
        <f>IF(OR(Data!N24=""),"",Data!O24/Data!N24)</f>
        <v/>
      </c>
      <c r="E24" s="12">
        <f>IF(Data!P24="","",Data!P24)</f>
        <v/>
      </c>
      <c r="F24" s="16">
        <f>IF(Data!Q24="","",Data!Q24)</f>
        <v/>
      </c>
      <c r="G24" s="9">
        <f>IF(OR(Data!P24="",Data!P20="",Data!Q24&lt;&gt;Data!Q20),"",Data!P24/Data!P20-1)</f>
        <v/>
      </c>
      <c r="H24" s="9">
        <f>IF(Data!R24="","",Data!R24/100)</f>
        <v/>
      </c>
      <c r="I24" s="16">
        <f>IF(Data!S24="","",Data!S24)</f>
        <v/>
      </c>
      <c r="J24" s="17">
        <f>IF(OR(Data!R24="",Data!P24=""),"",Data!R24/100*Data!P24*1000)</f>
        <v/>
      </c>
      <c r="K24" s="9">
        <f>IF(OR(Data!R24="",Data!P20="",Data!Q24&lt;&gt;Data!Q20),"",Data!R24/100*Data!P24/Data!P20)</f>
        <v/>
      </c>
    </row>
    <row r="25">
      <c r="A25">
        <f>Data!A25</f>
        <v/>
      </c>
      <c r="B25" s="13">
        <f>IF(Data!N25="","",Data!N25)</f>
        <v/>
      </c>
      <c r="C25" s="13">
        <f>Data!O25</f>
        <v/>
      </c>
      <c r="D25" s="9">
        <f>IF(OR(Data!N25=""),"",Data!O25/Data!N25)</f>
        <v/>
      </c>
      <c r="E25" s="12">
        <f>IF(Data!P25="","",Data!P25)</f>
        <v/>
      </c>
      <c r="F25" s="16">
        <f>IF(Data!Q25="","",Data!Q25)</f>
        <v/>
      </c>
      <c r="G25" s="9">
        <f>IF(OR(Data!P25="",Data!P21="",Data!Q25&lt;&gt;Data!Q21),"",Data!P25/Data!P21-1)</f>
        <v/>
      </c>
      <c r="H25" s="9">
        <f>IF(Data!R25="","",Data!R25/100)</f>
        <v/>
      </c>
      <c r="I25" s="16">
        <f>IF(Data!S25="","",Data!S25)</f>
        <v/>
      </c>
      <c r="J25" s="17">
        <f>IF(OR(Data!R25="",Data!P25=""),"",Data!R25/100*Data!P25*1000)</f>
        <v/>
      </c>
      <c r="K25" s="9">
        <f>IF(OR(Data!R25="",Data!P21="",Data!Q25&lt;&gt;Data!Q21),"",Data!R25/100*Data!P25/Data!P21)</f>
        <v/>
      </c>
    </row>
    <row r="26">
      <c r="A26">
        <f>Data!A26</f>
        <v/>
      </c>
      <c r="B26" s="13">
        <f>IF(Data!N26="","",Data!N26)</f>
        <v/>
      </c>
      <c r="C26" s="13">
        <f>Data!O26</f>
        <v/>
      </c>
      <c r="D26" s="9">
        <f>IF(OR(Data!N26=""),"",Data!O26/Data!N26)</f>
        <v/>
      </c>
      <c r="E26" s="12">
        <f>IF(Data!P26="","",Data!P26)</f>
        <v/>
      </c>
      <c r="F26" s="16">
        <f>IF(Data!Q26="","",Data!Q26)</f>
        <v/>
      </c>
      <c r="G26" s="9">
        <f>IF(OR(Data!P26="",Data!P22="",Data!Q26&lt;&gt;Data!Q22),"",Data!P26/Data!P22-1)</f>
        <v/>
      </c>
      <c r="H26" s="9">
        <f>IF(Data!R26="","",Data!R26/100)</f>
        <v/>
      </c>
      <c r="I26" s="16">
        <f>IF(Data!S26="","",Data!S26)</f>
        <v/>
      </c>
      <c r="J26" s="17">
        <f>IF(OR(Data!R26="",Data!P26=""),"",Data!R26/100*Data!P26*1000)</f>
        <v/>
      </c>
      <c r="K26" s="9">
        <f>IF(OR(Data!R26="",Data!P22="",Data!Q26&lt;&gt;Data!Q22),"",Data!R26/100*Data!P26/Data!P22)</f>
        <v/>
      </c>
    </row>
    <row r="27">
      <c r="A27">
        <f>Data!A27</f>
        <v/>
      </c>
      <c r="B27" s="13">
        <f>IF(Data!N27="","",Data!N27)</f>
        <v/>
      </c>
      <c r="C27" s="13">
        <f>Data!O27</f>
        <v/>
      </c>
      <c r="D27" s="9">
        <f>IF(OR(Data!N27=""),"",Data!O27/Data!N27)</f>
        <v/>
      </c>
      <c r="E27" s="12">
        <f>IF(Data!P27="","",Data!P27)</f>
        <v/>
      </c>
      <c r="F27" s="16">
        <f>IF(Data!Q27="","",Data!Q27)</f>
        <v/>
      </c>
      <c r="G27" s="9">
        <f>IF(OR(Data!P27="",Data!P23="",Data!Q27&lt;&gt;Data!Q23),"",Data!P27/Data!P23-1)</f>
        <v/>
      </c>
      <c r="H27" s="9">
        <f>IF(Data!R27="","",Data!R27/100)</f>
        <v/>
      </c>
      <c r="I27" s="16">
        <f>IF(Data!S27="","",Data!S27)</f>
        <v/>
      </c>
      <c r="J27" s="17">
        <f>IF(OR(Data!R27="",Data!P27=""),"",Data!R27/100*Data!P27*1000)</f>
        <v/>
      </c>
      <c r="K27" s="9">
        <f>IF(OR(Data!R27="",Data!P23="",Data!Q27&lt;&gt;Data!Q23),"",Data!R27/100*Data!P27/Data!P23)</f>
        <v/>
      </c>
    </row>
    <row r="28">
      <c r="A28">
        <f>Data!A28</f>
        <v/>
      </c>
      <c r="B28" s="13">
        <f>IF(Data!N28="","",Data!N28)</f>
        <v/>
      </c>
      <c r="C28" s="13">
        <f>Data!O28</f>
        <v/>
      </c>
      <c r="D28" s="9">
        <f>IF(OR(Data!N28=""),"",Data!O28/Data!N28)</f>
        <v/>
      </c>
      <c r="E28" s="12">
        <f>IF(Data!P28="","",Data!P28)</f>
        <v/>
      </c>
      <c r="F28" s="16">
        <f>IF(Data!Q28="","",Data!Q28)</f>
        <v/>
      </c>
      <c r="G28" s="9">
        <f>IF(OR(Data!P28="",Data!P24="",Data!Q28&lt;&gt;Data!Q24),"",Data!P28/Data!P24-1)</f>
        <v/>
      </c>
      <c r="H28" s="9">
        <f>IF(Data!R28="","",Data!R28/100)</f>
        <v/>
      </c>
      <c r="I28" s="16">
        <f>IF(Data!S28="","",Data!S28)</f>
        <v/>
      </c>
      <c r="J28" s="17">
        <f>IF(OR(Data!R28="",Data!P28=""),"",Data!R28/100*Data!P28*1000)</f>
        <v/>
      </c>
      <c r="K28" s="9">
        <f>IF(OR(Data!R28="",Data!P24="",Data!Q28&lt;&gt;Data!Q24),"",Data!R28/100*Data!P28/Data!P24)</f>
        <v/>
      </c>
    </row>
    <row r="29">
      <c r="A29">
        <f>Data!A29</f>
        <v/>
      </c>
      <c r="B29" s="13">
        <f>IF(Data!N29="","",Data!N29)</f>
        <v/>
      </c>
      <c r="C29" s="13">
        <f>Data!O29</f>
        <v/>
      </c>
      <c r="D29" s="9">
        <f>IF(OR(Data!N29=""),"",Data!O29/Data!N29)</f>
        <v/>
      </c>
      <c r="E29" s="12">
        <f>IF(Data!P29="","",Data!P29)</f>
        <v/>
      </c>
      <c r="F29" s="16">
        <f>IF(Data!Q29="","",Data!Q29)</f>
        <v/>
      </c>
      <c r="G29" s="9">
        <f>IF(OR(Data!P29="",Data!P25="",Data!Q29&lt;&gt;Data!Q25),"",Data!P29/Data!P25-1)</f>
        <v/>
      </c>
      <c r="H29" s="9">
        <f>IF(Data!R29="","",Data!R29/100)</f>
        <v/>
      </c>
      <c r="I29" s="16">
        <f>IF(Data!S29="","",Data!S29)</f>
        <v/>
      </c>
      <c r="J29" s="17">
        <f>IF(OR(Data!R29="",Data!P29=""),"",Data!R29/100*Data!P29*1000)</f>
        <v/>
      </c>
      <c r="K29" s="9">
        <f>IF(OR(Data!R29="",Data!P25="",Data!Q29&lt;&gt;Data!Q25),"",Data!R29/100*Data!P29/Data!P25)</f>
        <v/>
      </c>
    </row>
    <row r="30">
      <c r="A30">
        <f>Data!A30</f>
        <v/>
      </c>
      <c r="B30" s="13">
        <f>IF(Data!N30="","",Data!N30)</f>
        <v/>
      </c>
      <c r="C30" s="13">
        <f>Data!O30</f>
        <v/>
      </c>
      <c r="D30" s="9">
        <f>IF(OR(Data!N30=""),"",Data!O30/Data!N30)</f>
        <v/>
      </c>
      <c r="E30" s="12">
        <f>IF(Data!P30="","",Data!P30)</f>
        <v/>
      </c>
      <c r="F30" s="16">
        <f>IF(Data!Q30="","",Data!Q30)</f>
        <v/>
      </c>
      <c r="G30" s="9">
        <f>IF(OR(Data!P30="",Data!P26="",Data!Q30&lt;&gt;Data!Q26),"",Data!P30/Data!P26-1)</f>
        <v/>
      </c>
      <c r="H30" s="9">
        <f>IF(Data!R30="","",Data!R30/100)</f>
        <v/>
      </c>
      <c r="I30" s="16">
        <f>IF(Data!S30="","",Data!S30)</f>
        <v/>
      </c>
      <c r="J30" s="17">
        <f>IF(OR(Data!R30="",Data!P30=""),"",Data!R30/100*Data!P30*1000)</f>
        <v/>
      </c>
      <c r="K30" s="9">
        <f>IF(OR(Data!R30="",Data!P26="",Data!Q30&lt;&gt;Data!Q26),"",Data!R30/100*Data!P30/Data!P26)</f>
        <v/>
      </c>
    </row>
    <row r="31">
      <c r="A31">
        <f>Data!A31</f>
        <v/>
      </c>
      <c r="B31" s="13">
        <f>IF(Data!N31="","",Data!N31)</f>
        <v/>
      </c>
      <c r="C31" s="13">
        <f>Data!O31</f>
        <v/>
      </c>
      <c r="D31" s="9">
        <f>IF(OR(Data!N31=""),"",Data!O31/Data!N31)</f>
        <v/>
      </c>
      <c r="E31" s="12">
        <f>IF(Data!P31="","",Data!P31)</f>
        <v/>
      </c>
      <c r="F31" s="16">
        <f>IF(Data!Q31="","",Data!Q31)</f>
        <v/>
      </c>
      <c r="G31" s="9">
        <f>IF(OR(Data!P31="",Data!P27="",Data!Q31&lt;&gt;Data!Q27),"",Data!P31/Data!P27-1)</f>
        <v/>
      </c>
      <c r="H31" s="9">
        <f>IF(Data!R31="","",Data!R31/100)</f>
        <v/>
      </c>
      <c r="I31" s="16">
        <f>IF(Data!S31="","",Data!S31)</f>
        <v/>
      </c>
      <c r="J31" s="17">
        <f>IF(OR(Data!R31="",Data!P31=""),"",Data!R31/100*Data!P31*1000)</f>
        <v/>
      </c>
      <c r="K31" s="9">
        <f>IF(OR(Data!R31="",Data!P27="",Data!Q31&lt;&gt;Data!Q27),"",Data!R31/100*Data!P31/Data!P27)</f>
        <v/>
      </c>
    </row>
    <row r="33">
      <c r="A33" s="15" t="inlineStr">
        <is>
          <t>Seasoning view: when a loan book grows fast, new loans have not had time to go bad, which flatters the NPL ratio. Dividing today's NPL amount by the book four quarters earlier shows the ratio without that effect. Approximate: the NPL % is printed to one decimal.</t>
        </is>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8" t="inlineStr">
        <is>
          <t>Can Shopee reach US$1 billion adjusted EBITDA in FY2026?</t>
        </is>
      </c>
    </row>
    <row r="2">
      <c r="A2" t="inlineStr">
        <is>
          <t>Sea's CEO said in the Q2 2026 release that he is 'optimistic' Shopee will reach US$1 billion adjusted EBITDA for the full year.</t>
        </is>
      </c>
    </row>
    <row r="4">
      <c r="A4" s="19" t="inlineStr">
        <is>
          <t>Actuals (from Data)</t>
        </is>
      </c>
    </row>
    <row r="5">
      <c r="A5" t="inlineStr">
        <is>
          <t>Q1 2026 adj. EBITDA (US$ m)</t>
        </is>
      </c>
      <c r="B5" s="20">
        <f>Data!M30</f>
        <v/>
      </c>
    </row>
    <row r="6">
      <c r="A6" t="inlineStr">
        <is>
          <t>Q2 2026 adj. EBITDA (US$ m)</t>
        </is>
      </c>
      <c r="B6" s="20">
        <f>Data!M31</f>
        <v/>
      </c>
    </row>
    <row r="7">
      <c r="A7" t="inlineStr">
        <is>
          <t>H1 2026 adj. EBITDA (US$ m)</t>
        </is>
      </c>
      <c r="B7" s="20">
        <f>B5+B6</f>
        <v/>
      </c>
    </row>
    <row r="8">
      <c r="A8" t="inlineStr">
        <is>
          <t>Needed in H2 2026 for US$1 bn (US$ m)</t>
        </is>
      </c>
      <c r="B8" s="20">
        <f>1000-B7</f>
        <v/>
      </c>
    </row>
    <row r="9">
      <c r="A9" t="inlineStr">
        <is>
          <t>Q3 2025 GMV (US$ bn)</t>
        </is>
      </c>
      <c r="B9" s="21">
        <f>Data!C28</f>
        <v/>
      </c>
    </row>
    <row r="10">
      <c r="A10" t="inlineStr">
        <is>
          <t>Q4 2025 GMV (US$ bn)</t>
        </is>
      </c>
      <c r="B10" s="21">
        <f>Data!C29</f>
        <v/>
      </c>
    </row>
    <row r="11">
      <c r="A11" t="inlineStr">
        <is>
          <t>H1 2026 GMV growth YoY</t>
        </is>
      </c>
      <c r="B11" s="22">
        <f>(Data!C30+Data!C31)/(Data!C26+Data!C27)-1</f>
        <v/>
      </c>
    </row>
    <row r="12">
      <c r="A12" t="inlineStr">
        <is>
          <t>H2 2025 adj. EBITDA % GMV</t>
        </is>
      </c>
      <c r="B12" s="23">
        <f>(Data!M28+Data!M29)/((Data!C28+Data!C29)*1000)</f>
        <v/>
      </c>
    </row>
    <row r="13">
      <c r="A13" t="inlineStr">
        <is>
          <t>H1 2026 adj. EBITDA % GMV</t>
        </is>
      </c>
      <c r="B13" s="23">
        <f>B7/((Data!C30+Data!C31)*1000)</f>
        <v/>
      </c>
    </row>
    <row r="14">
      <c r="A14" t="inlineStr">
        <is>
          <t>Q2 2026 adj. EBITDA % GMV</t>
        </is>
      </c>
      <c r="B14" s="23">
        <f>Data!M31/(Data!C31*1000)</f>
        <v/>
      </c>
    </row>
    <row r="15">
      <c r="A15" t="inlineStr">
        <is>
          <t>H2 2025 EBITDA as % of H1 2025 EBITDA (seasonality)</t>
        </is>
      </c>
      <c r="B15" s="24">
        <f>(Data!M28+Data!M29)/(Data!M26+Data!M27)</f>
        <v/>
      </c>
    </row>
    <row r="17">
      <c r="A17" s="19" t="inlineStr">
        <is>
          <t>Scenarios for H2 2026 (yellow = assumption)</t>
        </is>
      </c>
    </row>
    <row r="18">
      <c r="B18" s="25" t="inlineStr">
        <is>
          <t>Bear</t>
        </is>
      </c>
      <c r="C18" s="25" t="inlineStr">
        <is>
          <t>Base</t>
        </is>
      </c>
      <c r="D18" s="25" t="inlineStr">
        <is>
          <t>Bull</t>
        </is>
      </c>
    </row>
    <row r="19">
      <c r="A19" t="inlineStr">
        <is>
          <t>H2 GMV growth YoY</t>
        </is>
      </c>
      <c r="B19" s="26">
        <f>B11-0.05</f>
        <v/>
      </c>
      <c r="C19" s="26">
        <f>B11</f>
        <v/>
      </c>
      <c r="D19" s="26">
        <f>B11+0.03</f>
        <v/>
      </c>
    </row>
    <row r="20">
      <c r="A20" t="inlineStr">
        <is>
          <t>H2 adj. EBITDA % GMV</t>
        </is>
      </c>
      <c r="B20" s="27">
        <f>B12</f>
        <v/>
      </c>
      <c r="C20" s="27">
        <f>B13</f>
        <v/>
      </c>
      <c r="D20" s="27">
        <f>B14</f>
        <v/>
      </c>
    </row>
    <row r="21">
      <c r="A21" s="15" t="inlineStr">
        <is>
          <t>Why these: Bear = growth 5 pts slower and H2 margin like H2 2025 (mega-sale season); Base = H1 2026 growth and margin; Bull = 3 pts faster growth at the Q2 2026 margin.</t>
        </is>
      </c>
    </row>
    <row r="23">
      <c r="A23" s="28" t="inlineStr">
        <is>
          <t>H2 2026 GMV (US$ bn)</t>
        </is>
      </c>
      <c r="B23" s="29">
        <f>($B$9+$B$10)*(1+B19)</f>
        <v/>
      </c>
      <c r="C23" s="29">
        <f>($B$9+$B$10)*(1+C19)</f>
        <v/>
      </c>
      <c r="D23" s="29">
        <f>($B$9+$B$10)*(1+D19)</f>
        <v/>
      </c>
    </row>
    <row r="24">
      <c r="A24" s="28" t="inlineStr">
        <is>
          <t>H2 2026 adj. EBITDA (US$ m)</t>
        </is>
      </c>
      <c r="B24" s="30">
        <f>B23*1000*B20</f>
        <v/>
      </c>
      <c r="C24" s="30">
        <f>C23*1000*C20</f>
        <v/>
      </c>
      <c r="D24" s="30">
        <f>D23*1000*D20</f>
        <v/>
      </c>
    </row>
    <row r="25">
      <c r="A25" s="19" t="inlineStr">
        <is>
          <t>FY2026 adj. EBITDA (US$ m)</t>
        </is>
      </c>
      <c r="B25" s="30">
        <f>$B$7+B24</f>
        <v/>
      </c>
      <c r="C25" s="30">
        <f>$B$7+C24</f>
        <v/>
      </c>
      <c r="D25" s="30">
        <f>$B$7+D24</f>
        <v/>
      </c>
    </row>
    <row r="26">
      <c r="A26" s="28" t="inlineStr">
        <is>
          <t>Gap to US$1 bn (US$ m)</t>
        </is>
      </c>
      <c r="B26" s="30">
        <f>B25-1000</f>
        <v/>
      </c>
      <c r="C26" s="30">
        <f>C25-1000</f>
        <v/>
      </c>
      <c r="D26" s="30">
        <f>D25-1000</f>
        <v/>
      </c>
    </row>
    <row r="27">
      <c r="A27" s="19" t="inlineStr">
        <is>
          <t>Reaches US$1 bn?</t>
        </is>
      </c>
      <c r="B27" s="31">
        <f>IF(B25&gt;=1000,"Yes","No")</f>
        <v/>
      </c>
      <c r="C27" s="31">
        <f>IF(C25&gt;=1000,"Yes","No")</f>
        <v/>
      </c>
      <c r="D27" s="31">
        <f>IF(D25&gt;=1000,"Yes","No")</f>
        <v/>
      </c>
    </row>
    <row r="28">
      <c r="A28" s="28" t="inlineStr">
        <is>
          <t>H2 margin needed for US$1 bn (% GMV)</t>
        </is>
      </c>
      <c r="B28" s="32">
        <f>$B$8/(B23*1000)</f>
        <v/>
      </c>
      <c r="C28" s="32">
        <f>$B$8/(C23*1000)</f>
        <v/>
      </c>
      <c r="D28" s="32">
        <f>$B$8/(D23*1000)</f>
        <v/>
      </c>
    </row>
    <row r="30">
      <c r="A30" s="19" t="inlineStr">
        <is>
          <t>Simple seasonal check</t>
        </is>
      </c>
    </row>
    <row r="31">
      <c r="A31" t="inlineStr">
        <is>
          <t>FY2026 if H2 repeats 2025's H2/H1 ratio (US$ m)</t>
        </is>
      </c>
      <c r="B31" s="20">
        <f>B7*(1+B15)</f>
        <v/>
      </c>
    </row>
    <row r="33">
      <c r="A33" s="15" t="inlineStr">
        <is>
          <t>Check after Sea's Q3 2026 release (mid-November): put actual Q3 adj. EBITDA and GMV here and compare with the Base case.</t>
        </is>
      </c>
    </row>
    <row r="34">
      <c r="A34" t="inlineStr">
        <is>
          <t>Actual Q3 2026 adj. EBITDA (US$ m)</t>
        </is>
      </c>
      <c r="B34" s="33" t="n"/>
    </row>
    <row r="35">
      <c r="A35" t="inlineStr">
        <is>
          <t>Actual Q3 2026 GMV (US$ bn)</t>
        </is>
      </c>
      <c r="B35" s="33"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89"/>
  <sheetViews>
    <sheetView workbookViewId="0">
      <selection activeCell="A1" sqref="A1"/>
    </sheetView>
  </sheetViews>
  <sheetFormatPr baseColWidth="8" defaultRowHeight="15"/>
  <cols>
    <col width="130" customWidth="1" min="1" max="1"/>
  </cols>
  <sheetData>
    <row r="1">
      <c r="A1" s="18" t="inlineStr">
        <is>
          <t>Data checks</t>
        </is>
      </c>
    </row>
    <row r="2">
      <c r="A2" t="inlineStr"/>
    </row>
    <row r="3">
      <c r="A3" s="19" t="inlineStr">
        <is>
          <t>1. Reported YoY vs computed YoY</t>
        </is>
      </c>
    </row>
    <row r="4">
      <c r="A4" t="inlineStr"/>
    </row>
    <row r="5">
      <c r="A5" t="inlineStr">
        <is>
          <t>| period | metric | reported % | computed % | allowed gap | ok |</t>
        </is>
      </c>
    </row>
    <row r="6">
      <c r="A6" t="inlineStr">
        <is>
          <t>|---|---|---|---|---|---|</t>
        </is>
      </c>
    </row>
    <row r="7">
      <c r="A7" t="inlineStr">
        <is>
          <t>| 2020Q1 | gmv_usd_bn | 74.3 | 77.1 | 4.1 | yes |</t>
        </is>
      </c>
    </row>
    <row r="8">
      <c r="A8" t="inlineStr">
        <is>
          <t>| 2020Q1 | gross_orders_bn | 111.2 | 111.2 | 0.3 | yes |</t>
        </is>
      </c>
    </row>
    <row r="9">
      <c r="A9" t="inlineStr">
        <is>
          <t>| 2020Q2 | gmv_usd_bn | 109.9 | 110.5 | 4.3 | yes |</t>
        </is>
      </c>
    </row>
    <row r="10">
      <c r="A10" t="inlineStr">
        <is>
          <t>| 2020Q2 | gross_orders_bn | 150.1 | 150.1 | 0.3 | yes |</t>
        </is>
      </c>
    </row>
    <row r="11">
      <c r="A11" t="inlineStr">
        <is>
          <t>| 2020Q3 | gmv_usd_bn | 102.7 | 102.2 | 3.5 | yes |</t>
        </is>
      </c>
    </row>
    <row r="12">
      <c r="A12" t="inlineStr">
        <is>
          <t>| 2020Q3 | gross_orders_bn | 130.7 | 130.7 | 0.3 | yes |</t>
        </is>
      </c>
    </row>
    <row r="13">
      <c r="A13" t="inlineStr">
        <is>
          <t>| 2020Q4 | gmv_usd_bn | 112.5 | 112.5 | 3.0 | yes |</t>
        </is>
      </c>
    </row>
    <row r="14">
      <c r="A14" t="inlineStr">
        <is>
          <t>| 2020Q4 | gross_orders_bn | 134.6 | 127.0 | 38.6 | yes |</t>
        </is>
      </c>
    </row>
    <row r="15">
      <c r="A15" t="inlineStr">
        <is>
          <t>| 2021Q1 | gmv_usd_bn | 103.2 | 103.2 | 2.6 | yes |</t>
        </is>
      </c>
    </row>
    <row r="16">
      <c r="A16" t="inlineStr">
        <is>
          <t>| 2021Q1 | gross_orders_bn | 153.0 | 155.9 | 41.1 | yes |</t>
        </is>
      </c>
    </row>
    <row r="17">
      <c r="A17" t="inlineStr">
        <is>
          <t>| 2021Q2 | gmv_usd_bn | 87.5 | 87.5 | 2.0 | yes |</t>
        </is>
      </c>
    </row>
    <row r="18">
      <c r="A18" t="inlineStr">
        <is>
          <t>| 2021Q2 | gross_orders_bn | 127.4 | 127.3 | 26.8 | yes |</t>
        </is>
      </c>
    </row>
    <row r="19">
      <c r="A19" t="inlineStr">
        <is>
          <t>| 2021Q3 | gmv_usd_bn | 80.6 | 80.6 | 1.7 | yes |</t>
        </is>
      </c>
    </row>
    <row r="20">
      <c r="A20" t="inlineStr">
        <is>
          <t>| 2021Q3 | gross_orders_bn | 123.2 | 129.2 | 21.8 | yes |</t>
        </is>
      </c>
    </row>
    <row r="21">
      <c r="A21" t="inlineStr">
        <is>
          <t>| 2021Q4 | gmv_usd_bn | 52.7 | 52.9 | 1.3 | yes |</t>
        </is>
      </c>
    </row>
    <row r="22">
      <c r="A22" t="inlineStr">
        <is>
          <t>| 2021Q4 | gross_orders_bn | 90.1 | 100.0 | 14.5 | yes |</t>
        </is>
      </c>
    </row>
    <row r="23">
      <c r="A23" t="inlineStr">
        <is>
          <t>| 2022Q1 | gmv_usd_bn | 38.7 | 38.1 | 1.1 | yes |</t>
        </is>
      </c>
    </row>
    <row r="24">
      <c r="A24" t="inlineStr">
        <is>
          <t>| 2022Q1 | gross_orders_bn | 71.3 | 72.7 | 12.5 | yes |</t>
        </is>
      </c>
    </row>
    <row r="25">
      <c r="A25" t="inlineStr">
        <is>
          <t>| 2022Q2 | gmv_usd_bn | 27.2 | 26.7 | 1.0 | yes |</t>
        </is>
      </c>
    </row>
    <row r="26">
      <c r="A26" t="inlineStr">
        <is>
          <t>| 2022Q2 | gross_orders_bn | 41.6 | 42.9 | 8.8 | yes |</t>
        </is>
      </c>
    </row>
    <row r="27">
      <c r="A27" t="inlineStr">
        <is>
          <t>| 2022Q3 | gmv_usd_bn | 13.5 | 13.7 | 0.8 | yes |</t>
        </is>
      </c>
    </row>
    <row r="28">
      <c r="A28" t="inlineStr">
        <is>
          <t>| 2022Q3 | gross_orders_bn | 19.2 | 17.6 | 6.7 | yes |</t>
        </is>
      </c>
    </row>
    <row r="29">
      <c r="A29" t="inlineStr">
        <is>
          <t>| 2023Q3 | gmv_usd_bn | 5.1 | 5.2 | 0.7 | yes |</t>
        </is>
      </c>
    </row>
    <row r="30">
      <c r="A30" t="inlineStr">
        <is>
          <t>| 2023Q3 | gross_orders_bn | 13.2 | 10.0 | 5.6 | yes |</t>
        </is>
      </c>
    </row>
    <row r="31">
      <c r="A31" t="inlineStr">
        <is>
          <t>| 2023Q4 | gmv_usd_bn | 28.6 | 28.3 | 0.8 | yes |</t>
        </is>
      </c>
    </row>
    <row r="32">
      <c r="A32" t="inlineStr">
        <is>
          <t>| 2023Q4 | gross_orders_bn | 46.0 | 47.1 | 7.4 | yes |</t>
        </is>
      </c>
    </row>
    <row r="33">
      <c r="A33" t="inlineStr">
        <is>
          <t>| 2024Q1 | gmv_usd_bn | 36.3 | 36.3 | 0.9 | yes |</t>
        </is>
      </c>
    </row>
    <row r="34">
      <c r="A34" t="inlineStr">
        <is>
          <t>| 2024Q1 | gross_orders_bn | 56.8 | 56.8 | 7.9 | yes |</t>
        </is>
      </c>
    </row>
    <row r="35">
      <c r="A35" t="inlineStr">
        <is>
          <t>| 2024Q2 | gmv_usd_bn | 29.1 | 29.1 | 0.8 | yes |</t>
        </is>
      </c>
    </row>
    <row r="36">
      <c r="A36" t="inlineStr">
        <is>
          <t>| 2024Q2 | gross_orders_bn | 40.3 | 40.3 | 6.9 | yes |</t>
        </is>
      </c>
    </row>
    <row r="37">
      <c r="A37" t="inlineStr">
        <is>
          <t>| 2024Q3 | gmv_usd_bn | 25.2 | 24.9 | 0.8 | yes |</t>
        </is>
      </c>
    </row>
    <row r="38">
      <c r="A38" t="inlineStr">
        <is>
          <t>| 2024Q3 | gross_orders_bn | 24.2 | 27.3 | 5.2 | yes |</t>
        </is>
      </c>
    </row>
    <row r="39">
      <c r="A39" t="inlineStr">
        <is>
          <t>| 2024Q4 | gmv_usd_bn | 23.5 | 23.8 | 0.7 | yes |</t>
        </is>
      </c>
    </row>
    <row r="40">
      <c r="A40" t="inlineStr">
        <is>
          <t>| 2024Q4 | gross_orders_bn | 20.1 | 20.0 | 4.6 | yes |</t>
        </is>
      </c>
    </row>
    <row r="41">
      <c r="A41" t="inlineStr">
        <is>
          <t>| 2025Q1 | gmv_usd_bn | 21.5 | 21.2 | 0.7 | yes |</t>
        </is>
      </c>
    </row>
    <row r="42">
      <c r="A42" t="inlineStr">
        <is>
          <t>| 2025Q1 | gross_orders_bn | 20.5 | 19.2 | 4.5 | yes |</t>
        </is>
      </c>
    </row>
    <row r="43">
      <c r="A43" t="inlineStr">
        <is>
          <t>| 2025Q2 | gmv_usd_bn | 28.2 | 27.9 | 0.7 | yes |</t>
        </is>
      </c>
    </row>
    <row r="44">
      <c r="A44" t="inlineStr">
        <is>
          <t>| 2025Q2 | gross_orders_bn | 28.6 | 32.0 | 4.7 | yes |</t>
        </is>
      </c>
    </row>
    <row r="45">
      <c r="A45" t="inlineStr">
        <is>
          <t>| 2025Q3 | gmv_usd_bn | 28.4 | 28.3 | 0.7 | yes |</t>
        </is>
      </c>
    </row>
    <row r="46">
      <c r="A46" t="inlineStr">
        <is>
          <t>| 2025Q3 | gross_orders_bn | 28.4 | 28.6 | 4.3 | yes |</t>
        </is>
      </c>
    </row>
    <row r="47">
      <c r="A47" t="inlineStr">
        <is>
          <t>| 2025Q4 | gmv_usd_bn | 28.6 | 28.3 | 0.6 | yes |</t>
        </is>
      </c>
    </row>
    <row r="48">
      <c r="A48" t="inlineStr">
        <is>
          <t>| 2025Q4 | gross_orders_bn | 30.5 | 33.3 | 4.0 | yes |</t>
        </is>
      </c>
    </row>
    <row r="49">
      <c r="A49" t="inlineStr">
        <is>
          <t>| 2026Q1 | gmv_usd_bn | 30.2 | 30.4 | 0.6 | yes |</t>
        </is>
      </c>
    </row>
    <row r="50">
      <c r="A50" t="inlineStr">
        <is>
          <t>| 2026Q1 | gross_orders_bn | 29.3 | 29.0 | 3.9 | yes |</t>
        </is>
      </c>
    </row>
    <row r="51">
      <c r="A51" t="inlineStr">
        <is>
          <t>| 2026Q2 | gmv_usd_bn | 28.4 | 28.5 | 0.6 | yes |</t>
        </is>
      </c>
    </row>
    <row r="52">
      <c r="A52" t="inlineStr">
        <is>
          <t>| 2026Q2 | gross_orders_bn | 27.5 | 27.3 | 3.6 | yes |</t>
        </is>
      </c>
    </row>
    <row r="53">
      <c r="A53" t="inlineStr"/>
    </row>
    <row r="54">
      <c r="A54" t="inlineStr">
        <is>
          <t>Failures: 0</t>
        </is>
      </c>
    </row>
    <row r="55">
      <c r="A55" t="inlineStr"/>
    </row>
    <row r="56">
      <c r="A56" s="19" t="inlineStr">
        <is>
          <t>2. Adjusted EBITDA: prior-year figure in later release vs first reported</t>
        </is>
      </c>
    </row>
    <row r="57">
      <c r="A57" t="inlineStr"/>
    </row>
    <row r="58">
      <c r="A58" t="inlineStr">
        <is>
          <t>| period | segment | first reported (US$ m) | shown a year later | difference |</t>
        </is>
      </c>
    </row>
    <row r="59">
      <c r="A59" t="inlineStr">
        <is>
          <t>|---|---|---|---|---|</t>
        </is>
      </c>
    </row>
    <row r="60">
      <c r="A60" t="inlineStr">
        <is>
          <t>| 2020Q1 | shopee | -260.0 | -264.1 | -4.1 |</t>
        </is>
      </c>
    </row>
    <row r="61">
      <c r="A61" t="inlineStr">
        <is>
          <t>| 2020Q1 | monee | -101.6 | -93.1 | +8.5 |</t>
        </is>
      </c>
    </row>
    <row r="62">
      <c r="A62" t="inlineStr">
        <is>
          <t>| 2020Q2 | shopee | -305.5 | -313.7 | -8.3 |</t>
        </is>
      </c>
    </row>
    <row r="63">
      <c r="A63" t="inlineStr">
        <is>
          <t>| 2020Q2 | monee | -110.1 | -97.5 | +12.6 |</t>
        </is>
      </c>
    </row>
    <row r="64">
      <c r="A64" t="inlineStr"/>
    </row>
    <row r="65">
      <c r="A65" t="inlineStr">
        <is>
          <t>Rows above are restatements by Sea (e.g. segment re-allocations). The model uses first-reported values.</t>
        </is>
      </c>
    </row>
    <row r="66">
      <c r="A66" t="inlineStr"/>
    </row>
    <row r="67">
      <c r="A67" s="19" t="inlineStr">
        <is>
          <t>3. Sum of quarters vs full-year figure</t>
        </is>
      </c>
    </row>
    <row r="68">
      <c r="A68" t="inlineStr"/>
    </row>
    <row r="69">
      <c r="A69" t="inlineStr">
        <is>
          <t>| year | metric | full year | sum of quarters | gap % |</t>
        </is>
      </c>
    </row>
    <row r="70">
      <c r="A70" t="inlineStr">
        <is>
          <t>|---|---|---|---|---|</t>
        </is>
      </c>
    </row>
    <row r="71">
      <c r="A71" t="inlineStr">
        <is>
          <t>| 2019 | gmv_usd_bn | 17.6 | 17.50 | -0.6 |</t>
        </is>
      </c>
    </row>
    <row r="72">
      <c r="A72" t="inlineStr">
        <is>
          <t>| 2019 | gross_orders_bn | not printed | | |</t>
        </is>
      </c>
    </row>
    <row r="73">
      <c r="A73" t="inlineStr">
        <is>
          <t>| 2020 | gmv_usd_bn | 35.4 | 35.40 | +0.0 |</t>
        </is>
      </c>
    </row>
    <row r="74">
      <c r="A74" t="inlineStr">
        <is>
          <t>| 2020 | gross_orders_bn | 2.8 | 2.79 | -0.5 |</t>
        </is>
      </c>
    </row>
    <row r="75">
      <c r="A75" t="inlineStr">
        <is>
          <t>| 2021 | gmv_usd_bn | 62.5 | 62.60 | +0.2 |</t>
        </is>
      </c>
    </row>
    <row r="76">
      <c r="A76" t="inlineStr">
        <is>
          <t>| 2021 | gross_orders_bn | 6.1 | 6.20 | +1.6 |</t>
        </is>
      </c>
    </row>
    <row r="77">
      <c r="A77" t="inlineStr">
        <is>
          <t>| 2022 | gmv_usd_bn | 73.5 | 73.50 | +0.0 |</t>
        </is>
      </c>
    </row>
    <row r="78">
      <c r="A78" t="inlineStr">
        <is>
          <t>| 2022 | gross_orders_bn | 7.6 | 7.60 | +0.0 |</t>
        </is>
      </c>
    </row>
    <row r="79">
      <c r="A79" t="inlineStr">
        <is>
          <t>| 2023 | gmv_usd_bn | 78.5 | 78.56 (includes derived 2023Q1-Q2) | +0.1 |</t>
        </is>
      </c>
    </row>
    <row r="80">
      <c r="A80" t="inlineStr">
        <is>
          <t>| 2023 | gross_orders_bn | 8.2 | 8.14 (includes derived 2023Q1-Q2) | -0.7 |</t>
        </is>
      </c>
    </row>
    <row r="81">
      <c r="A81" t="inlineStr">
        <is>
          <t>| 2024 | gmv_usd_bn | 100.5 | 100.60 | +0.1 |</t>
        </is>
      </c>
    </row>
    <row r="82">
      <c r="A82" t="inlineStr">
        <is>
          <t>| 2024 | gross_orders_bn | 10.9 | 10.90 | -0.0 |</t>
        </is>
      </c>
    </row>
    <row r="83">
      <c r="A83" t="inlineStr">
        <is>
          <t>| 2025 | gmv_usd_bn | 127.4 | 127.30 | -0.1 |</t>
        </is>
      </c>
    </row>
    <row r="84">
      <c r="A84" t="inlineStr">
        <is>
          <t>| 2025 | gross_orders_bn | 13.9 | 14.00 | +0.7 |</t>
        </is>
      </c>
    </row>
    <row r="85">
      <c r="A85" t="inlineStr"/>
    </row>
    <row r="86">
      <c r="A86" t="inlineStr">
        <is>
          <t>Gaps within about 3% come from Sea printing quarters rounded to 0.1 bn.</t>
        </is>
      </c>
    </row>
    <row r="87">
      <c r="A87" t="inlineStr"/>
    </row>
    <row r="88">
      <c r="A88" s="19" t="inlineStr">
        <is>
          <t>4. Remaining gaps</t>
        </is>
      </c>
    </row>
    <row r="89">
      <c r="A89"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2026-10-14T17:22:12Z</dcterms:created>
  <dcterms:modified xmlns:dcterms="http://purl.org/dc/terms/" xmlns:xsi="http://www.w3.org/2001/XMLSchema-instance" xsi:type="dcterms:W3CDTF">2026-10-14T17:22:12Z</dcterms:modified>
</cp:coreProperties>
</file>