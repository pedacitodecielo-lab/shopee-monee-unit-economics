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Emelio Exaudi\Documents\Project\Finance\Shopee Unit Economics\"/>
    </mc:Choice>
  </mc:AlternateContent>
  <xr:revisionPtr revIDLastSave="0" documentId="13_ncr:1_{0506CE5F-C7D5-4716-89A9-7889CC6B8BC3}" xr6:coauthVersionLast="47" xr6:coauthVersionMax="47" xr10:uidLastSave="{00000000-0000-0000-0000-000000000000}"/>
  <bookViews>
    <workbookView xWindow="1520" yWindow="1520" windowWidth="19200" windowHeight="11170" xr2:uid="{00000000-000D-0000-FFFF-FFFF00000000}"/>
  </bookViews>
  <sheets>
    <sheet name="README" sheetId="1" r:id="rId1"/>
    <sheet name="Data" sheetId="2" r:id="rId2"/>
    <sheet name="Shopee_Metrics" sheetId="3" r:id="rId3"/>
    <sheet name="Growth_Drivers" sheetId="4" r:id="rId4"/>
    <sheet name="Monee" sheetId="5" r:id="rId5"/>
    <sheet name="Target_2026"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6" l="1"/>
  <c r="B14" i="6"/>
  <c r="D20" i="6" s="1"/>
  <c r="B12" i="6"/>
  <c r="B20" i="6" s="1"/>
  <c r="B11" i="6"/>
  <c r="D19" i="6" s="1"/>
  <c r="B10" i="6"/>
  <c r="B9" i="6"/>
  <c r="B6" i="6"/>
  <c r="B5" i="6"/>
  <c r="B7" i="6" s="1"/>
  <c r="K31" i="5"/>
  <c r="J31" i="5"/>
  <c r="I31" i="5"/>
  <c r="H31" i="5"/>
  <c r="G31" i="5"/>
  <c r="F31" i="5"/>
  <c r="E31" i="5"/>
  <c r="D31" i="5"/>
  <c r="C31" i="5"/>
  <c r="B31" i="5"/>
  <c r="A31" i="5"/>
  <c r="K30" i="5"/>
  <c r="J30" i="5"/>
  <c r="I30" i="5"/>
  <c r="H30" i="5"/>
  <c r="G30" i="5"/>
  <c r="F30" i="5"/>
  <c r="E30" i="5"/>
  <c r="D30" i="5"/>
  <c r="C30" i="5"/>
  <c r="B30" i="5"/>
  <c r="A30" i="5"/>
  <c r="K29" i="5"/>
  <c r="J29" i="5"/>
  <c r="I29" i="5"/>
  <c r="H29" i="5"/>
  <c r="G29" i="5"/>
  <c r="F29" i="5"/>
  <c r="E29" i="5"/>
  <c r="D29" i="5"/>
  <c r="C29" i="5"/>
  <c r="B29" i="5"/>
  <c r="A29" i="5"/>
  <c r="K28" i="5"/>
  <c r="J28" i="5"/>
  <c r="I28" i="5"/>
  <c r="H28" i="5"/>
  <c r="G28" i="5"/>
  <c r="F28" i="5"/>
  <c r="E28" i="5"/>
  <c r="D28" i="5"/>
  <c r="C28" i="5"/>
  <c r="B28" i="5"/>
  <c r="A28" i="5"/>
  <c r="K27" i="5"/>
  <c r="J27" i="5"/>
  <c r="I27" i="5"/>
  <c r="H27" i="5"/>
  <c r="G27" i="5"/>
  <c r="F27" i="5"/>
  <c r="E27" i="5"/>
  <c r="D27" i="5"/>
  <c r="C27" i="5"/>
  <c r="B27" i="5"/>
  <c r="A27" i="5"/>
  <c r="K26" i="5"/>
  <c r="J26" i="5"/>
  <c r="I26" i="5"/>
  <c r="H26" i="5"/>
  <c r="G26" i="5"/>
  <c r="F26" i="5"/>
  <c r="E26" i="5"/>
  <c r="D26" i="5"/>
  <c r="C26" i="5"/>
  <c r="B26" i="5"/>
  <c r="A26" i="5"/>
  <c r="K25" i="5"/>
  <c r="J25" i="5"/>
  <c r="I25" i="5"/>
  <c r="H25" i="5"/>
  <c r="G25" i="5"/>
  <c r="F25" i="5"/>
  <c r="E25" i="5"/>
  <c r="D25" i="5"/>
  <c r="C25" i="5"/>
  <c r="B25" i="5"/>
  <c r="A25" i="5"/>
  <c r="K24" i="5"/>
  <c r="J24" i="5"/>
  <c r="I24" i="5"/>
  <c r="H24" i="5"/>
  <c r="G24" i="5"/>
  <c r="F24" i="5"/>
  <c r="E24" i="5"/>
  <c r="D24" i="5"/>
  <c r="C24" i="5"/>
  <c r="B24" i="5"/>
  <c r="A24" i="5"/>
  <c r="K23" i="5"/>
  <c r="J23" i="5"/>
  <c r="I23" i="5"/>
  <c r="H23" i="5"/>
  <c r="G23" i="5"/>
  <c r="F23" i="5"/>
  <c r="E23" i="5"/>
  <c r="D23" i="5"/>
  <c r="C23" i="5"/>
  <c r="B23" i="5"/>
  <c r="A23" i="5"/>
  <c r="K22" i="5"/>
  <c r="J22" i="5"/>
  <c r="I22" i="5"/>
  <c r="H22" i="5"/>
  <c r="G22" i="5"/>
  <c r="F22" i="5"/>
  <c r="E22" i="5"/>
  <c r="D22" i="5"/>
  <c r="C22" i="5"/>
  <c r="B22" i="5"/>
  <c r="A22" i="5"/>
  <c r="K21" i="5"/>
  <c r="J21" i="5"/>
  <c r="I21" i="5"/>
  <c r="H21" i="5"/>
  <c r="G21" i="5"/>
  <c r="F21" i="5"/>
  <c r="E21" i="5"/>
  <c r="D21" i="5"/>
  <c r="C21" i="5"/>
  <c r="B21" i="5"/>
  <c r="A21" i="5"/>
  <c r="K20" i="5"/>
  <c r="J20" i="5"/>
  <c r="I20" i="5"/>
  <c r="H20" i="5"/>
  <c r="G20" i="5"/>
  <c r="F20" i="5"/>
  <c r="E20" i="5"/>
  <c r="D20" i="5"/>
  <c r="C20" i="5"/>
  <c r="B20" i="5"/>
  <c r="A20" i="5"/>
  <c r="K19" i="5"/>
  <c r="J19" i="5"/>
  <c r="I19" i="5"/>
  <c r="H19" i="5"/>
  <c r="G19" i="5"/>
  <c r="F19" i="5"/>
  <c r="E19" i="5"/>
  <c r="D19" i="5"/>
  <c r="C19" i="5"/>
  <c r="B19" i="5"/>
  <c r="A19" i="5"/>
  <c r="K18" i="5"/>
  <c r="J18" i="5"/>
  <c r="I18" i="5"/>
  <c r="H18" i="5"/>
  <c r="G18" i="5"/>
  <c r="F18" i="5"/>
  <c r="E18" i="5"/>
  <c r="D18" i="5"/>
  <c r="C18" i="5"/>
  <c r="B18" i="5"/>
  <c r="A18" i="5"/>
  <c r="K17" i="5"/>
  <c r="J17" i="5"/>
  <c r="I17" i="5"/>
  <c r="H17" i="5"/>
  <c r="G17" i="5"/>
  <c r="F17" i="5"/>
  <c r="E17" i="5"/>
  <c r="D17" i="5"/>
  <c r="C17" i="5"/>
  <c r="B17" i="5"/>
  <c r="A17" i="5"/>
  <c r="K16" i="5"/>
  <c r="J16" i="5"/>
  <c r="I16" i="5"/>
  <c r="H16" i="5"/>
  <c r="G16" i="5"/>
  <c r="F16" i="5"/>
  <c r="E16" i="5"/>
  <c r="D16" i="5"/>
  <c r="C16" i="5"/>
  <c r="B16" i="5"/>
  <c r="A16" i="5"/>
  <c r="K15" i="5"/>
  <c r="J15" i="5"/>
  <c r="I15" i="5"/>
  <c r="H15" i="5"/>
  <c r="G15" i="5"/>
  <c r="F15" i="5"/>
  <c r="E15" i="5"/>
  <c r="D15" i="5"/>
  <c r="C15" i="5"/>
  <c r="B15" i="5"/>
  <c r="A15" i="5"/>
  <c r="K14" i="5"/>
  <c r="J14" i="5"/>
  <c r="I14" i="5"/>
  <c r="H14" i="5"/>
  <c r="G14" i="5"/>
  <c r="F14" i="5"/>
  <c r="E14" i="5"/>
  <c r="D14" i="5"/>
  <c r="C14" i="5"/>
  <c r="B14" i="5"/>
  <c r="A14" i="5"/>
  <c r="K13" i="5"/>
  <c r="J13" i="5"/>
  <c r="I13" i="5"/>
  <c r="H13" i="5"/>
  <c r="G13" i="5"/>
  <c r="F13" i="5"/>
  <c r="E13" i="5"/>
  <c r="D13" i="5"/>
  <c r="C13" i="5"/>
  <c r="B13" i="5"/>
  <c r="A13" i="5"/>
  <c r="K12" i="5"/>
  <c r="J12" i="5"/>
  <c r="I12" i="5"/>
  <c r="H12" i="5"/>
  <c r="G12" i="5"/>
  <c r="F12" i="5"/>
  <c r="E12" i="5"/>
  <c r="D12" i="5"/>
  <c r="C12" i="5"/>
  <c r="B12" i="5"/>
  <c r="A12" i="5"/>
  <c r="K11" i="5"/>
  <c r="J11" i="5"/>
  <c r="I11" i="5"/>
  <c r="H11" i="5"/>
  <c r="G11" i="5"/>
  <c r="F11" i="5"/>
  <c r="E11" i="5"/>
  <c r="D11" i="5"/>
  <c r="C11" i="5"/>
  <c r="B11" i="5"/>
  <c r="A11" i="5"/>
  <c r="K10" i="5"/>
  <c r="J10" i="5"/>
  <c r="I10" i="5"/>
  <c r="H10" i="5"/>
  <c r="G10" i="5"/>
  <c r="F10" i="5"/>
  <c r="E10" i="5"/>
  <c r="D10" i="5"/>
  <c r="C10" i="5"/>
  <c r="B10" i="5"/>
  <c r="A10" i="5"/>
  <c r="K9" i="5"/>
  <c r="J9" i="5"/>
  <c r="I9" i="5"/>
  <c r="H9" i="5"/>
  <c r="G9" i="5"/>
  <c r="F9" i="5"/>
  <c r="E9" i="5"/>
  <c r="D9" i="5"/>
  <c r="C9" i="5"/>
  <c r="B9" i="5"/>
  <c r="A9" i="5"/>
  <c r="K8" i="5"/>
  <c r="J8" i="5"/>
  <c r="I8" i="5"/>
  <c r="H8" i="5"/>
  <c r="G8" i="5"/>
  <c r="F8" i="5"/>
  <c r="E8" i="5"/>
  <c r="D8" i="5"/>
  <c r="C8" i="5"/>
  <c r="B8" i="5"/>
  <c r="A8" i="5"/>
  <c r="K7" i="5"/>
  <c r="J7" i="5"/>
  <c r="I7" i="5"/>
  <c r="H7" i="5"/>
  <c r="G7" i="5"/>
  <c r="F7" i="5"/>
  <c r="E7" i="5"/>
  <c r="D7" i="5"/>
  <c r="C7" i="5"/>
  <c r="B7" i="5"/>
  <c r="A7" i="5"/>
  <c r="K6" i="5"/>
  <c r="J6" i="5"/>
  <c r="I6" i="5"/>
  <c r="H6" i="5"/>
  <c r="G6" i="5"/>
  <c r="F6" i="5"/>
  <c r="E6" i="5"/>
  <c r="D6" i="5"/>
  <c r="C6" i="5"/>
  <c r="B6" i="5"/>
  <c r="A6" i="5"/>
  <c r="J5" i="5"/>
  <c r="I5" i="5"/>
  <c r="H5" i="5"/>
  <c r="F5" i="5"/>
  <c r="E5" i="5"/>
  <c r="D5" i="5"/>
  <c r="C5" i="5"/>
  <c r="B5" i="5"/>
  <c r="A5" i="5"/>
  <c r="J4" i="5"/>
  <c r="I4" i="5"/>
  <c r="H4" i="5"/>
  <c r="F4" i="5"/>
  <c r="E4" i="5"/>
  <c r="D4" i="5"/>
  <c r="C4" i="5"/>
  <c r="B4" i="5"/>
  <c r="A4" i="5"/>
  <c r="J3" i="5"/>
  <c r="I3" i="5"/>
  <c r="H3" i="5"/>
  <c r="F3" i="5"/>
  <c r="E3" i="5"/>
  <c r="D3" i="5"/>
  <c r="C3" i="5"/>
  <c r="B3" i="5"/>
  <c r="A3" i="5"/>
  <c r="J2" i="5"/>
  <c r="I2" i="5"/>
  <c r="H2" i="5"/>
  <c r="F2" i="5"/>
  <c r="E2" i="5"/>
  <c r="D2" i="5"/>
  <c r="C2" i="5"/>
  <c r="B2" i="5"/>
  <c r="A2" i="5"/>
  <c r="A31" i="4"/>
  <c r="A30" i="4"/>
  <c r="A29" i="4"/>
  <c r="A28" i="4"/>
  <c r="A27" i="4"/>
  <c r="A26" i="4"/>
  <c r="A25" i="4"/>
  <c r="A24" i="4"/>
  <c r="A23" i="4"/>
  <c r="A22" i="4"/>
  <c r="A21" i="4"/>
  <c r="A20" i="4"/>
  <c r="A19" i="4"/>
  <c r="A18" i="4"/>
  <c r="A17" i="4"/>
  <c r="A16" i="4"/>
  <c r="A15" i="4"/>
  <c r="A14" i="4"/>
  <c r="A13" i="4"/>
  <c r="A12" i="4"/>
  <c r="A11" i="4"/>
  <c r="A10" i="4"/>
  <c r="A9" i="4"/>
  <c r="A8" i="4"/>
  <c r="A7" i="4"/>
  <c r="A6" i="4"/>
  <c r="A5" i="4"/>
  <c r="A4" i="4"/>
  <c r="A3" i="4"/>
  <c r="A2" i="4"/>
  <c r="M31" i="3"/>
  <c r="L31" i="3"/>
  <c r="K31" i="3"/>
  <c r="J31" i="3"/>
  <c r="I31" i="3"/>
  <c r="H31" i="3"/>
  <c r="G31" i="3"/>
  <c r="F31" i="3"/>
  <c r="E31" i="3"/>
  <c r="D31" i="3"/>
  <c r="C31" i="3"/>
  <c r="B31" i="3"/>
  <c r="E31" i="4" s="1"/>
  <c r="A31" i="3"/>
  <c r="M30" i="3"/>
  <c r="L30" i="3"/>
  <c r="K30" i="3"/>
  <c r="J30" i="3"/>
  <c r="I30" i="3"/>
  <c r="H30" i="3"/>
  <c r="G30" i="3"/>
  <c r="F30" i="3"/>
  <c r="E30" i="3"/>
  <c r="D30" i="3"/>
  <c r="C30" i="3"/>
  <c r="B30" i="3"/>
  <c r="A30" i="3"/>
  <c r="M29" i="3"/>
  <c r="L29" i="3"/>
  <c r="K29" i="3"/>
  <c r="J29" i="3"/>
  <c r="I29" i="3"/>
  <c r="H29" i="3"/>
  <c r="G29" i="3"/>
  <c r="F29" i="3"/>
  <c r="E29" i="3"/>
  <c r="D29" i="3"/>
  <c r="C29" i="3"/>
  <c r="E29" i="4" s="1"/>
  <c r="B29" i="3"/>
  <c r="A29" i="3"/>
  <c r="M28" i="3"/>
  <c r="L28" i="3"/>
  <c r="K28" i="3"/>
  <c r="J28" i="3"/>
  <c r="I28" i="3"/>
  <c r="H28" i="3"/>
  <c r="G28" i="3"/>
  <c r="F28" i="3"/>
  <c r="E28" i="3"/>
  <c r="D28" i="3"/>
  <c r="C28" i="3"/>
  <c r="E28" i="4" s="1"/>
  <c r="B28" i="3"/>
  <c r="D28" i="4" s="1"/>
  <c r="A28" i="3"/>
  <c r="M27" i="3"/>
  <c r="L27" i="3"/>
  <c r="K27" i="3"/>
  <c r="J27" i="3"/>
  <c r="I27" i="3"/>
  <c r="H27" i="3"/>
  <c r="G27" i="3"/>
  <c r="F27" i="3"/>
  <c r="E27" i="3"/>
  <c r="D27" i="3"/>
  <c r="C27" i="3"/>
  <c r="B27" i="3"/>
  <c r="A27" i="3"/>
  <c r="M26" i="3"/>
  <c r="L26" i="3"/>
  <c r="K26" i="3"/>
  <c r="J26" i="3"/>
  <c r="I26" i="3"/>
  <c r="H26" i="3"/>
  <c r="G26" i="3"/>
  <c r="F26" i="3"/>
  <c r="E26" i="3"/>
  <c r="D26" i="3"/>
  <c r="C26" i="3"/>
  <c r="B26" i="3"/>
  <c r="D26" i="4" s="1"/>
  <c r="A26" i="3"/>
  <c r="M25" i="3"/>
  <c r="L25" i="3"/>
  <c r="K25" i="3"/>
  <c r="J25" i="3"/>
  <c r="I25" i="3"/>
  <c r="H25" i="3"/>
  <c r="G25" i="3"/>
  <c r="F25" i="3"/>
  <c r="E25" i="3"/>
  <c r="D25" i="3"/>
  <c r="C25" i="3"/>
  <c r="B25" i="3"/>
  <c r="A25" i="3"/>
  <c r="M24" i="3"/>
  <c r="L24" i="3"/>
  <c r="K24" i="3"/>
  <c r="J24" i="3"/>
  <c r="I24" i="3"/>
  <c r="H24" i="3"/>
  <c r="G24" i="3"/>
  <c r="F24" i="3"/>
  <c r="E24" i="3"/>
  <c r="D24" i="3"/>
  <c r="C24" i="3"/>
  <c r="E24" i="4" s="1"/>
  <c r="B24" i="3"/>
  <c r="D24" i="4" s="1"/>
  <c r="A24" i="3"/>
  <c r="M23" i="3"/>
  <c r="L23" i="3"/>
  <c r="K23" i="3"/>
  <c r="J23" i="3"/>
  <c r="I23" i="3"/>
  <c r="H23" i="3"/>
  <c r="G23" i="3"/>
  <c r="F23" i="3"/>
  <c r="E23" i="3"/>
  <c r="D23" i="3"/>
  <c r="C23" i="3"/>
  <c r="B23" i="3"/>
  <c r="B23" i="4" s="1"/>
  <c r="A23" i="3"/>
  <c r="M22" i="3"/>
  <c r="L22" i="3"/>
  <c r="K22" i="3"/>
  <c r="J22" i="3"/>
  <c r="I22" i="3"/>
  <c r="H22" i="3"/>
  <c r="G22" i="3"/>
  <c r="F22" i="3"/>
  <c r="E22" i="3"/>
  <c r="D22" i="3"/>
  <c r="C22" i="3"/>
  <c r="B22" i="3"/>
  <c r="A22" i="3"/>
  <c r="M21" i="3"/>
  <c r="L21" i="3"/>
  <c r="K21" i="3"/>
  <c r="J21" i="3"/>
  <c r="I21" i="3"/>
  <c r="H21" i="3"/>
  <c r="G21" i="3"/>
  <c r="F21" i="3"/>
  <c r="E21" i="3"/>
  <c r="D21" i="3"/>
  <c r="C21" i="3"/>
  <c r="E21" i="4" s="1"/>
  <c r="B21" i="3"/>
  <c r="C25" i="4" s="1"/>
  <c r="A21" i="3"/>
  <c r="M20" i="3"/>
  <c r="L20" i="3"/>
  <c r="K20" i="3"/>
  <c r="J20" i="3"/>
  <c r="I20" i="3"/>
  <c r="H20" i="3"/>
  <c r="G20" i="3"/>
  <c r="F20" i="3"/>
  <c r="E20" i="3"/>
  <c r="D20" i="3"/>
  <c r="C20" i="3"/>
  <c r="B20" i="3"/>
  <c r="A20" i="3"/>
  <c r="M19" i="3"/>
  <c r="L19" i="3"/>
  <c r="K19" i="3"/>
  <c r="J19" i="3"/>
  <c r="I19" i="3"/>
  <c r="H19" i="3"/>
  <c r="G19" i="3"/>
  <c r="F19" i="3"/>
  <c r="E19" i="3"/>
  <c r="D19" i="3"/>
  <c r="C19" i="3"/>
  <c r="E19" i="4" s="1"/>
  <c r="B19" i="3"/>
  <c r="A19" i="3"/>
  <c r="M18" i="3"/>
  <c r="L18" i="3"/>
  <c r="K18" i="3"/>
  <c r="J18" i="3"/>
  <c r="I18" i="3"/>
  <c r="H18" i="3"/>
  <c r="G18" i="3"/>
  <c r="F18" i="3"/>
  <c r="E18" i="3"/>
  <c r="D18" i="3"/>
  <c r="C18" i="3"/>
  <c r="E18" i="4" s="1"/>
  <c r="B18" i="3"/>
  <c r="A18" i="3"/>
  <c r="M17" i="3"/>
  <c r="L17" i="3"/>
  <c r="K17" i="3"/>
  <c r="J17" i="3"/>
  <c r="I17" i="3"/>
  <c r="H17" i="3"/>
  <c r="G17" i="3"/>
  <c r="F17" i="3"/>
  <c r="E17" i="3"/>
  <c r="D17" i="3"/>
  <c r="C17" i="3"/>
  <c r="B17" i="3"/>
  <c r="A17" i="3"/>
  <c r="M16" i="3"/>
  <c r="L16" i="3"/>
  <c r="K16" i="3"/>
  <c r="J16" i="3"/>
  <c r="I16" i="3"/>
  <c r="H16" i="3"/>
  <c r="G16" i="3"/>
  <c r="F16" i="3"/>
  <c r="E16" i="3"/>
  <c r="D16" i="3"/>
  <c r="C16" i="3"/>
  <c r="E16" i="4" s="1"/>
  <c r="B16" i="3"/>
  <c r="D16" i="4" s="1"/>
  <c r="A16" i="3"/>
  <c r="M15" i="3"/>
  <c r="L15" i="3"/>
  <c r="K15" i="3"/>
  <c r="J15" i="3"/>
  <c r="I15" i="3"/>
  <c r="H15" i="3"/>
  <c r="G15" i="3"/>
  <c r="F15" i="3"/>
  <c r="E15" i="3"/>
  <c r="D15" i="3"/>
  <c r="C15" i="3"/>
  <c r="B15" i="3"/>
  <c r="A15" i="3"/>
  <c r="M14" i="3"/>
  <c r="L14" i="3"/>
  <c r="K14" i="3"/>
  <c r="J14" i="3"/>
  <c r="I14" i="3"/>
  <c r="H14" i="3"/>
  <c r="G14" i="3"/>
  <c r="F14" i="3"/>
  <c r="E14" i="3"/>
  <c r="D14" i="3"/>
  <c r="C14" i="3"/>
  <c r="E14" i="4" s="1"/>
  <c r="B14" i="3"/>
  <c r="D14" i="4" s="1"/>
  <c r="A14" i="3"/>
  <c r="M13" i="3"/>
  <c r="L13" i="3"/>
  <c r="K13" i="3"/>
  <c r="J13" i="3"/>
  <c r="I13" i="3"/>
  <c r="H13" i="3"/>
  <c r="G13" i="3"/>
  <c r="F13" i="3"/>
  <c r="E13" i="3"/>
  <c r="D13" i="3"/>
  <c r="C13" i="3"/>
  <c r="B13" i="3"/>
  <c r="D13" i="4" s="1"/>
  <c r="A13" i="3"/>
  <c r="M12" i="3"/>
  <c r="L12" i="3"/>
  <c r="K12" i="3"/>
  <c r="J12" i="3"/>
  <c r="I12" i="3"/>
  <c r="H12" i="3"/>
  <c r="G12" i="3"/>
  <c r="F12" i="3"/>
  <c r="E12" i="3"/>
  <c r="D12" i="3"/>
  <c r="C12" i="3"/>
  <c r="B12" i="3"/>
  <c r="A12" i="3"/>
  <c r="M11" i="3"/>
  <c r="L11" i="3"/>
  <c r="K11" i="3"/>
  <c r="J11" i="3"/>
  <c r="I11" i="3"/>
  <c r="H11" i="3"/>
  <c r="G11" i="3"/>
  <c r="F11" i="3"/>
  <c r="E11" i="3"/>
  <c r="D11" i="3"/>
  <c r="C11" i="3"/>
  <c r="E11" i="4" s="1"/>
  <c r="B11" i="3"/>
  <c r="D11" i="4" s="1"/>
  <c r="A11" i="3"/>
  <c r="M10" i="3"/>
  <c r="L10" i="3"/>
  <c r="K10" i="3"/>
  <c r="J10" i="3"/>
  <c r="I10" i="3"/>
  <c r="H10" i="3"/>
  <c r="G10" i="3"/>
  <c r="F10" i="3"/>
  <c r="E10" i="3"/>
  <c r="D10" i="3"/>
  <c r="C10" i="3"/>
  <c r="B10" i="3"/>
  <c r="A10" i="3"/>
  <c r="M9" i="3"/>
  <c r="L9" i="3"/>
  <c r="K9" i="3"/>
  <c r="J9" i="3"/>
  <c r="I9" i="3"/>
  <c r="H9" i="3"/>
  <c r="G9" i="3"/>
  <c r="F9" i="3"/>
  <c r="E9" i="3"/>
  <c r="D9" i="3"/>
  <c r="C9" i="3"/>
  <c r="B9" i="3"/>
  <c r="D9" i="4" s="1"/>
  <c r="A9" i="3"/>
  <c r="M8" i="3"/>
  <c r="L8" i="3"/>
  <c r="K8" i="3"/>
  <c r="J8" i="3"/>
  <c r="I8" i="3"/>
  <c r="H8" i="3"/>
  <c r="G8" i="3"/>
  <c r="F8" i="3"/>
  <c r="E8" i="3"/>
  <c r="D8" i="3"/>
  <c r="C8" i="3"/>
  <c r="B8" i="3"/>
  <c r="D8" i="4" s="1"/>
  <c r="A8" i="3"/>
  <c r="M7" i="3"/>
  <c r="L7" i="3"/>
  <c r="K7" i="3"/>
  <c r="J7" i="3"/>
  <c r="I7" i="3"/>
  <c r="H7" i="3"/>
  <c r="G7" i="3"/>
  <c r="F7" i="3"/>
  <c r="E7" i="3"/>
  <c r="D7" i="3"/>
  <c r="C7" i="3"/>
  <c r="E7" i="4" s="1"/>
  <c r="B7" i="3"/>
  <c r="C7" i="4" s="1"/>
  <c r="A7" i="3"/>
  <c r="M6" i="3"/>
  <c r="L6" i="3"/>
  <c r="K6" i="3"/>
  <c r="J6" i="3"/>
  <c r="I6" i="3"/>
  <c r="H6" i="3"/>
  <c r="G6" i="3"/>
  <c r="F6" i="3"/>
  <c r="E6" i="3"/>
  <c r="D6" i="3"/>
  <c r="C6" i="3"/>
  <c r="E6" i="4" s="1"/>
  <c r="B6" i="3"/>
  <c r="D6" i="4" s="1"/>
  <c r="A6" i="3"/>
  <c r="M5" i="3"/>
  <c r="L5" i="3"/>
  <c r="H5" i="3"/>
  <c r="G5" i="3"/>
  <c r="F5" i="3"/>
  <c r="E5" i="3"/>
  <c r="D5" i="3"/>
  <c r="C5" i="3"/>
  <c r="B5" i="3"/>
  <c r="A5" i="3"/>
  <c r="H4" i="3"/>
  <c r="G4" i="3"/>
  <c r="F4" i="3"/>
  <c r="E4" i="3"/>
  <c r="D4" i="3"/>
  <c r="C4" i="3"/>
  <c r="B4" i="3"/>
  <c r="A4" i="3"/>
  <c r="H3" i="3"/>
  <c r="G3" i="3"/>
  <c r="F3" i="3"/>
  <c r="E3" i="3"/>
  <c r="D3" i="3"/>
  <c r="C3" i="3"/>
  <c r="B3" i="3"/>
  <c r="A3" i="3"/>
  <c r="H2" i="3"/>
  <c r="G2" i="3"/>
  <c r="F2" i="3"/>
  <c r="E2" i="3"/>
  <c r="D2" i="3"/>
  <c r="C2" i="3"/>
  <c r="B2" i="3"/>
  <c r="A2" i="3"/>
  <c r="E13" i="4" l="1"/>
  <c r="D18" i="4"/>
  <c r="E30" i="4"/>
  <c r="E9" i="4"/>
  <c r="D19" i="4"/>
  <c r="D29" i="4"/>
  <c r="E12" i="4"/>
  <c r="D17" i="4"/>
  <c r="E22" i="4"/>
  <c r="D12" i="4"/>
  <c r="B26" i="4"/>
  <c r="E10" i="4"/>
  <c r="D30" i="4"/>
  <c r="E8" i="4"/>
  <c r="D10" i="4"/>
  <c r="E15" i="4"/>
  <c r="E20" i="4"/>
  <c r="D25" i="4"/>
  <c r="D27" i="4"/>
  <c r="D15" i="4"/>
  <c r="B20" i="4"/>
  <c r="C30" i="4"/>
  <c r="E23" i="4"/>
  <c r="E17" i="4"/>
  <c r="E25" i="4"/>
  <c r="B31" i="6"/>
  <c r="B8" i="6"/>
  <c r="B13" i="6"/>
  <c r="C20" i="6" s="1"/>
  <c r="D23" i="6"/>
  <c r="D24" i="6" s="1"/>
  <c r="D25" i="6" s="1"/>
  <c r="D7" i="4"/>
  <c r="C20" i="4"/>
  <c r="E26" i="4"/>
  <c r="B14" i="4"/>
  <c r="D20" i="4"/>
  <c r="C14" i="4"/>
  <c r="B27" i="4"/>
  <c r="B8" i="4"/>
  <c r="C27" i="4"/>
  <c r="C8" i="4"/>
  <c r="B21" i="4"/>
  <c r="C21" i="4"/>
  <c r="E27" i="4"/>
  <c r="B15" i="4"/>
  <c r="D21" i="4"/>
  <c r="C15" i="4"/>
  <c r="B28" i="4"/>
  <c r="B19" i="6"/>
  <c r="B23" i="6" s="1"/>
  <c r="B24" i="6" s="1"/>
  <c r="B25" i="6" s="1"/>
  <c r="B9" i="4"/>
  <c r="C28" i="4"/>
  <c r="C19" i="6"/>
  <c r="C23" i="6" s="1"/>
  <c r="C9" i="4"/>
  <c r="B22" i="4"/>
  <c r="C22" i="4"/>
  <c r="B16" i="4"/>
  <c r="D22" i="4"/>
  <c r="C16" i="4"/>
  <c r="B29" i="4"/>
  <c r="B10" i="4"/>
  <c r="C29" i="4"/>
  <c r="C10" i="4"/>
  <c r="C23" i="4"/>
  <c r="B17" i="4"/>
  <c r="D23" i="4"/>
  <c r="C17" i="4"/>
  <c r="B30" i="4"/>
  <c r="B11" i="4"/>
  <c r="C11" i="4"/>
  <c r="B24" i="4"/>
  <c r="C24" i="4"/>
  <c r="B18" i="4"/>
  <c r="C18" i="4"/>
  <c r="B31" i="4"/>
  <c r="B12" i="4"/>
  <c r="C31" i="4"/>
  <c r="C12" i="4"/>
  <c r="B25" i="4"/>
  <c r="D31" i="4"/>
  <c r="B6" i="4"/>
  <c r="C6" i="4"/>
  <c r="B19" i="4"/>
  <c r="C19" i="4"/>
  <c r="B13" i="4"/>
  <c r="C13" i="4"/>
  <c r="B7" i="4"/>
  <c r="C26" i="4"/>
  <c r="C24" i="6" l="1"/>
  <c r="C25" i="6" s="1"/>
  <c r="C27" i="6"/>
  <c r="C26" i="6"/>
  <c r="B27" i="6"/>
  <c r="B26" i="6"/>
  <c r="D27" i="6"/>
  <c r="D26" i="6"/>
  <c r="D28" i="6"/>
  <c r="C28" i="6"/>
  <c r="B28" i="6"/>
</calcChain>
</file>

<file path=xl/sharedStrings.xml><?xml version="1.0" encoding="utf-8"?>
<sst xmlns="http://schemas.openxmlformats.org/spreadsheetml/2006/main" count="361" uniqueCount="252">
  <si>
    <t>Shopee &amp; Monee unit economics, Q1 2019 - Q2 2026</t>
  </si>
  <si>
    <t>Source: Sea Limited (NYSE: SE) quarterly earnings releases (Form 6-K, exhibit 99.1) on SEC EDGAR. Each Data row links to its filing.</t>
  </si>
  <si>
    <t>Question: is Shopee's growth becoming more profitable, is Monee's fast loan growth staying healthy, and, before H2 is reported, how likely is the 'US$1 billion Shopee adjusted EBITDA in FY2026' expectation (nowcast as of 15 Oct 2026)?</t>
  </si>
  <si>
    <t>How to read this file</t>
  </si>
  <si>
    <t>- Yellow cells on Target_2026 are assumptions you can change. Everything else is a formula or a reported number.</t>
  </si>
  <si>
    <t>- Money in US$ millions unless the column says bn. Take rates and margins are % of GMV unless stated otherwise.</t>
  </si>
  <si>
    <t>Definitions</t>
  </si>
  <si>
    <t>- GMV: value of goods sold on Shopee. Gross orders: number of orders. Average order value (AOV) = GMV / gross orders.</t>
  </si>
  <si>
    <t>- Marketplace revenue = core marketplace revenue (transaction fees + advertising) + value-added services (mainly logistics). Shopee's own product sales are excluded.</t>
  </si>
  <si>
    <t>- Take rate = revenue / GMV. Core take rate uses core marketplace revenue only (reported since Q3 2022).</t>
  </si>
  <si>
    <t>- Adjusted EBITDA (Sea's segment measure) = operating income + depreciation &amp; amortization. Share-based compensation is unallocated, not in Shopee's figure.</t>
  </si>
  <si>
    <t>Data notes and limits</t>
  </si>
  <si>
    <t>- Sea prints most bullet figures rounded (e.g. GMV to US$0.1 bn); adjusted EBITDA comes from exact tables (US$ thousands). Ratios inherit that rounding.</t>
  </si>
  <si>
    <t>- Marketplace and Monee revenue come from Sea's exact segment tables (US$ thousands) from Q1 2024 onward; earlier quarters use the rounded bullets, so 2022-2023 take rates are approximate.</t>
  </si>
  <si>
    <t>- Q1 and Q2 2023: Sea did not report GMV or gross orders. They are derived from the YoY growth Sea reported for Q1/Q2 2024 and flagged; the FY2023 totals confirm them (within 0.7%).</t>
  </si>
  <si>
    <t>- Q1 and Q2 2020 adjusted EBITDA were later restated by Sea by a few million; this file keeps first-reported values (see Checks).</t>
  </si>
  <si>
    <t>- Monee's loan measure changed: net on-book receivables (to Q2 2023), gross on-book receivables (Q3 2023), principal outstanding incl. off-book (from Q4 2023). Growth rates are only computed within one basis.</t>
  </si>
  <si>
    <t>- Before Q3 2023, Sea gave the 90-day NPL ratio only as bounds ('less than 4%', 'around 2%'). The drop to 'less than 2%' in Q4 2022 was mainly from shortening the write-off period from 180 to 120 days; Sea said it would be about 5% without that change.</t>
  </si>
  <si>
    <t>- From Q3 2026 Sea excludes deferred-revenue effects from adjusted EBITDA. The Q2 2026 reconciliation shows this effect is zero for Shopee (it is Garena only), so the FY2026 test is not affected.</t>
  </si>
  <si>
    <t>- No country split: Sea does not report Shopee Indonesia separately.</t>
  </si>
  <si>
    <t>Period</t>
  </si>
  <si>
    <t>Release date</t>
  </si>
  <si>
    <t>GMV (US$ bn)</t>
  </si>
  <si>
    <t>GMV source</t>
  </si>
  <si>
    <t>Gross orders (bn)</t>
  </si>
  <si>
    <t>Orders source</t>
  </si>
  <si>
    <t>GMV YoY reported %</t>
  </si>
  <si>
    <t>Orders YoY reported %</t>
  </si>
  <si>
    <t>Shopee revenue (US$ m)</t>
  </si>
  <si>
    <t>Marketplace revenue (US$ m)</t>
  </si>
  <si>
    <t>Core marketplace revenue (US$ m)</t>
  </si>
  <si>
    <t>Value-added services revenue (US$ m)</t>
  </si>
  <si>
    <t>Shopee adj. EBITDA (US$ m)</t>
  </si>
  <si>
    <t>Monee revenue (US$ m)</t>
  </si>
  <si>
    <t>Monee adj. EBITDA (US$ m)</t>
  </si>
  <si>
    <t>Monee loans (US$ bn)</t>
  </si>
  <si>
    <t>Loan basis</t>
  </si>
  <si>
    <t>NPL 90+ days %</t>
  </si>
  <si>
    <t>NPL as reported (bounds)</t>
  </si>
  <si>
    <t>Source filing</t>
  </si>
  <si>
    <t>2019Q1</t>
  </si>
  <si>
    <t>2019-05-22</t>
  </si>
  <si>
    <t>reported</t>
  </si>
  <si>
    <t>6-K ex.99.1</t>
  </si>
  <si>
    <t>2019Q2</t>
  </si>
  <si>
    <t>2019-08-20</t>
  </si>
  <si>
    <t>2019Q3</t>
  </si>
  <si>
    <t>2019-11-12</t>
  </si>
  <si>
    <t>2019Q4</t>
  </si>
  <si>
    <t>2020-03-03</t>
  </si>
  <si>
    <t>2020Q1</t>
  </si>
  <si>
    <t>2020-05-18</t>
  </si>
  <si>
    <t>2020Q2</t>
  </si>
  <si>
    <t>2020-08-18</t>
  </si>
  <si>
    <t>2020Q3</t>
  </si>
  <si>
    <t>2020-11-17</t>
  </si>
  <si>
    <t>2020Q4</t>
  </si>
  <si>
    <t>2021-03-02</t>
  </si>
  <si>
    <t>2021Q1</t>
  </si>
  <si>
    <t>2021-05-18</t>
  </si>
  <si>
    <t>2021Q2</t>
  </si>
  <si>
    <t>2021-08-17</t>
  </si>
  <si>
    <t>2021Q3</t>
  </si>
  <si>
    <t>2021-11-16</t>
  </si>
  <si>
    <t>2021Q4</t>
  </si>
  <si>
    <t>2022-03-01</t>
  </si>
  <si>
    <t>2022Q1</t>
  </si>
  <si>
    <t>2022-05-17</t>
  </si>
  <si>
    <t>2022Q2</t>
  </si>
  <si>
    <t>2022-08-16</t>
  </si>
  <si>
    <t>2022Q3</t>
  </si>
  <si>
    <t>2022-11-15</t>
  </si>
  <si>
    <t>net loans receivable, on-book</t>
  </si>
  <si>
    <t>&lt;4%</t>
  </si>
  <si>
    <t>2022Q4</t>
  </si>
  <si>
    <t>2023-03-07</t>
  </si>
  <si>
    <t>&lt;2%</t>
  </si>
  <si>
    <t>2023Q1</t>
  </si>
  <si>
    <t>2023-05-16</t>
  </si>
  <si>
    <t>derived from 2024Q1 YoY</t>
  </si>
  <si>
    <t>~2%</t>
  </si>
  <si>
    <t>2023Q2</t>
  </si>
  <si>
    <t>2023-08-15</t>
  </si>
  <si>
    <t>derived from 2024Q2 YoY</t>
  </si>
  <si>
    <t>2023Q3</t>
  </si>
  <si>
    <t>2023-11-14</t>
  </si>
  <si>
    <t>gross loans receivable, on-book</t>
  </si>
  <si>
    <t>2023Q4</t>
  </si>
  <si>
    <t>2024-03-04</t>
  </si>
  <si>
    <t>principal outstanding, on- and off-book</t>
  </si>
  <si>
    <t>2024Q1</t>
  </si>
  <si>
    <t>2024-05-14</t>
  </si>
  <si>
    <t>2024Q2</t>
  </si>
  <si>
    <t>2024-08-13</t>
  </si>
  <si>
    <t>2024Q3</t>
  </si>
  <si>
    <t>2024-11-12</t>
  </si>
  <si>
    <t>2024Q4</t>
  </si>
  <si>
    <t>2025-03-04</t>
  </si>
  <si>
    <t>2025Q1</t>
  </si>
  <si>
    <t>2025-05-13</t>
  </si>
  <si>
    <t>2025Q2</t>
  </si>
  <si>
    <t>2025-08-12</t>
  </si>
  <si>
    <t>2025Q3</t>
  </si>
  <si>
    <t>2025-11-12</t>
  </si>
  <si>
    <t>2025Q4</t>
  </si>
  <si>
    <t>2026-03-03</t>
  </si>
  <si>
    <t>2026Q1</t>
  </si>
  <si>
    <t>2026-05-12</t>
  </si>
  <si>
    <t>2026Q2</t>
  </si>
  <si>
    <t>2026-08-11</t>
  </si>
  <si>
    <t>AOV (US$ per order)</t>
  </si>
  <si>
    <t>Marketplace take rate</t>
  </si>
  <si>
    <t>Core take rate (fees + ads)</t>
  </si>
  <si>
    <t>VAS (logistics) % GMV</t>
  </si>
  <si>
    <t>Adj. EBITDA per order (US$)</t>
  </si>
  <si>
    <t>Adj. EBITDA % GMV</t>
  </si>
  <si>
    <t>Adj. EBITDA % marketplace revenue</t>
  </si>
  <si>
    <t>GMV YoY</t>
  </si>
  <si>
    <t>Orders YoY</t>
  </si>
  <si>
    <t>Marketplace revenue YoY</t>
  </si>
  <si>
    <t>Trailing 4Q GMV (US$ bn)</t>
  </si>
  <si>
    <t>Trailing 4Q adj. EBITDA (US$ m)</t>
  </si>
  <si>
    <t>Marketplace revenue YoY (= orders x AOV x take rate)</t>
  </si>
  <si>
    <t>Share from more orders</t>
  </si>
  <si>
    <t>Share from AOV</t>
  </si>
  <si>
    <t>Share from higher take rate</t>
  </si>
  <si>
    <t>Method: log decomposition of YoY marketplace revenue growth, ln(R/R-4) = ln(orders ratio) + ln(AOV ratio) + ln(take-rate ratio); each share = its log term / total log growth.</t>
  </si>
  <si>
    <t>Adj. EBITDA margin</t>
  </si>
  <si>
    <t>Loans (US$ bn)</t>
  </si>
  <si>
    <t>Loan YoY (same basis only)</t>
  </si>
  <si>
    <t>Approx. NPL amount (US$ m)</t>
  </si>
  <si>
    <t>NPL vs loans 4Q earlier (seasoning view)</t>
  </si>
  <si>
    <t>Seasoning view: when a loan book grows fast, new loans have not had time to go bad, which flatters the NPL ratio. Dividing today's NPL amount by the book four quarters earlier shows the ratio without that effect. Approximate: the NPL % is printed to one decimal.</t>
  </si>
  <si>
    <t>Nowcast: can Shopee reach US$1 billion adjusted EBITDA in FY2026?</t>
  </si>
  <si>
    <t>Sea's CEO said in the Q2 2026 release that he is 'optimistic' Shopee will reach US$1 billion adjusted EBITDA for the full year.</t>
  </si>
  <si>
    <t>Pre-results estimate (nowcast) made on 15 Oct 2026 from H1 2026 data, before Sea reports Q3 2026 (mid-November 2026) and FY2026 (around March 2027).</t>
  </si>
  <si>
    <t>Actuals (from Data)</t>
  </si>
  <si>
    <t>Q1 2026 adj. EBITDA (US$ m)</t>
  </si>
  <si>
    <t>Q2 2026 adj. EBITDA (US$ m)</t>
  </si>
  <si>
    <t>H1 2026 adj. EBITDA (US$ m)</t>
  </si>
  <si>
    <t>Needed in H2 2026 for US$1 bn (US$ m)</t>
  </si>
  <si>
    <t>Q3 2025 GMV (US$ bn)</t>
  </si>
  <si>
    <t>Q4 2025 GMV (US$ bn)</t>
  </si>
  <si>
    <t>H1 2026 GMV growth YoY</t>
  </si>
  <si>
    <t>H2 2025 adj. EBITDA % GMV</t>
  </si>
  <si>
    <t>H1 2026 adj. EBITDA % GMV</t>
  </si>
  <si>
    <t>Q2 2026 adj. EBITDA % GMV</t>
  </si>
  <si>
    <t>H2 2025 EBITDA as % of H1 2025 EBITDA (seasonality)</t>
  </si>
  <si>
    <t>Scenarios for H2 2026 (yellow = assumption)</t>
  </si>
  <si>
    <t>Bear</t>
  </si>
  <si>
    <t>Base</t>
  </si>
  <si>
    <t>Bull</t>
  </si>
  <si>
    <t>H2 GMV growth YoY</t>
  </si>
  <si>
    <t>H2 adj. EBITDA % GMV</t>
  </si>
  <si>
    <t>Why these: Bear = growth 5 pts slower and H2 margin like H2 2025; Base = H1 2026 growth and margin; Bull = 3 pts faster growth at the Q2 2026 margin.</t>
  </si>
  <si>
    <t>H2 2026 GMV (US$ bn)</t>
  </si>
  <si>
    <t>H2 2026 adj. EBITDA (US$ m)</t>
  </si>
  <si>
    <t>FY2026 adj. EBITDA (US$ m)</t>
  </si>
  <si>
    <t>Gap to US$1 bn (US$ m)</t>
  </si>
  <si>
    <t>Reaches US$1 bn?</t>
  </si>
  <si>
    <t>H2 margin needed for US$1 bn (% GMV)</t>
  </si>
  <si>
    <t>Simple seasonal check</t>
  </si>
  <si>
    <t>FY2026 if H2 repeats 2025's H2/H1 ratio (US$ m)</t>
  </si>
  <si>
    <t>Check after Sea's Q3 2026 release (mid-November): put actual Q3 adj. EBITDA and GMV here and compare with the Base case.</t>
  </si>
  <si>
    <t>Actual Q3 2026 adj. EBITDA (US$ m)</t>
  </si>
  <si>
    <t>Actual Q3 2026 GMV (US$ bn)</t>
  </si>
  <si>
    <t>Data checks</t>
  </si>
  <si>
    <t>1. Reported YoY vs computed YoY</t>
  </si>
  <si>
    <t>| period | metric | reported % | computed % | allowed gap | ok |</t>
  </si>
  <si>
    <t>|---|---|---|---|---|---|</t>
  </si>
  <si>
    <t>| 2020Q1 | gmv_usd_bn | 74.3 | 77.1 | 4.1 | yes |</t>
  </si>
  <si>
    <t>| 2020Q1 | gross_orders_bn | 111.2 | 111.2 | 0.3 | yes |</t>
  </si>
  <si>
    <t>| 2020Q2 | gmv_usd_bn | 109.9 | 110.5 | 4.3 | yes |</t>
  </si>
  <si>
    <t>| 2020Q2 | gross_orders_bn | 150.1 | 150.1 | 0.3 | yes |</t>
  </si>
  <si>
    <t>| 2020Q3 | gmv_usd_bn | 102.7 | 102.2 | 3.5 | yes |</t>
  </si>
  <si>
    <t>| 2020Q3 | gross_orders_bn | 130.7 | 130.7 | 0.3 | yes |</t>
  </si>
  <si>
    <t>| 2020Q4 | gmv_usd_bn | 112.5 | 112.5 | 3.0 | yes |</t>
  </si>
  <si>
    <t>| 2020Q4 | gross_orders_bn | 134.6 | 127.0 | 38.6 | yes |</t>
  </si>
  <si>
    <t>| 2021Q1 | gmv_usd_bn | 103.2 | 103.2 | 2.6 | yes |</t>
  </si>
  <si>
    <t>| 2021Q1 | gross_orders_bn | 153.0 | 155.9 | 41.1 | yes |</t>
  </si>
  <si>
    <t>| 2021Q2 | gmv_usd_bn | 87.5 | 87.5 | 2.0 | yes |</t>
  </si>
  <si>
    <t>| 2021Q2 | gross_orders_bn | 127.4 | 127.3 | 26.8 | yes |</t>
  </si>
  <si>
    <t>| 2021Q3 | gmv_usd_bn | 80.6 | 80.6 | 1.7 | yes |</t>
  </si>
  <si>
    <t>| 2021Q3 | gross_orders_bn | 123.2 | 129.2 | 21.8 | yes |</t>
  </si>
  <si>
    <t>| 2021Q4 | gmv_usd_bn | 52.7 | 52.9 | 1.3 | yes |</t>
  </si>
  <si>
    <t>| 2021Q4 | gross_orders_bn | 90.1 | 100.0 | 14.5 | yes |</t>
  </si>
  <si>
    <t>| 2022Q1 | gmv_usd_bn | 38.7 | 38.1 | 1.1 | yes |</t>
  </si>
  <si>
    <t>| 2022Q1 | gross_orders_bn | 71.3 | 72.7 | 12.5 | yes |</t>
  </si>
  <si>
    <t>| 2022Q2 | gmv_usd_bn | 27.2 | 26.7 | 1.0 | yes |</t>
  </si>
  <si>
    <t>| 2022Q2 | gross_orders_bn | 41.6 | 42.9 | 8.8 | yes |</t>
  </si>
  <si>
    <t>| 2022Q3 | gmv_usd_bn | 13.5 | 13.7 | 0.8 | yes |</t>
  </si>
  <si>
    <t>| 2022Q3 | gross_orders_bn | 19.2 | 17.6 | 6.7 | yes |</t>
  </si>
  <si>
    <t>| 2023Q3 | gmv_usd_bn | 5.1 | 5.2 | 0.7 | yes |</t>
  </si>
  <si>
    <t>| 2023Q3 | gross_orders_bn | 13.2 | 10.0 | 5.6 | yes |</t>
  </si>
  <si>
    <t>| 2023Q4 | gmv_usd_bn | 28.6 | 28.3 | 0.8 | yes |</t>
  </si>
  <si>
    <t>| 2023Q4 | gross_orders_bn | 46.0 | 47.1 | 7.4 | yes |</t>
  </si>
  <si>
    <t>| 2024Q1 | gmv_usd_bn | 36.3 | 36.3 | 0.9 | yes |</t>
  </si>
  <si>
    <t>| 2024Q1 | gross_orders_bn | 56.8 | 56.8 | 7.9 | yes |</t>
  </si>
  <si>
    <t>| 2024Q2 | gmv_usd_bn | 29.1 | 29.1 | 0.8 | yes |</t>
  </si>
  <si>
    <t>| 2024Q2 | gross_orders_bn | 40.3 | 40.3 | 6.9 | yes |</t>
  </si>
  <si>
    <t>| 2024Q3 | gmv_usd_bn | 25.2 | 24.9 | 0.8 | yes |</t>
  </si>
  <si>
    <t>| 2024Q3 | gross_orders_bn | 24.2 | 27.3 | 5.2 | yes |</t>
  </si>
  <si>
    <t>| 2024Q4 | gmv_usd_bn | 23.5 | 23.8 | 0.7 | yes |</t>
  </si>
  <si>
    <t>| 2024Q4 | gross_orders_bn | 20.1 | 20.0 | 4.6 | yes |</t>
  </si>
  <si>
    <t>| 2025Q1 | gmv_usd_bn | 21.5 | 21.2 | 0.7 | yes |</t>
  </si>
  <si>
    <t>| 2025Q1 | gross_orders_bn | 20.5 | 19.2 | 4.5 | yes |</t>
  </si>
  <si>
    <t>| 2025Q2 | gmv_usd_bn | 28.2 | 27.9 | 0.7 | yes |</t>
  </si>
  <si>
    <t>| 2025Q2 | gross_orders_bn | 28.6 | 32.0 | 4.7 | yes |</t>
  </si>
  <si>
    <t>| 2025Q3 | gmv_usd_bn | 28.4 | 28.3 | 0.7 | yes |</t>
  </si>
  <si>
    <t>| 2025Q3 | gross_orders_bn | 28.4 | 28.6 | 4.3 | yes |</t>
  </si>
  <si>
    <t>| 2025Q4 | gmv_usd_bn | 28.6 | 28.3 | 0.6 | yes |</t>
  </si>
  <si>
    <t>| 2025Q4 | gross_orders_bn | 30.5 | 33.3 | 4.0 | yes |</t>
  </si>
  <si>
    <t>| 2026Q1 | gmv_usd_bn | 30.2 | 30.4 | 0.6 | yes |</t>
  </si>
  <si>
    <t>| 2026Q1 | gross_orders_bn | 29.3 | 29.0 | 3.9 | yes |</t>
  </si>
  <si>
    <t>| 2026Q2 | gmv_usd_bn | 28.4 | 28.5 | 0.6 | yes |</t>
  </si>
  <si>
    <t>| 2026Q2 | gross_orders_bn | 27.5 | 27.3 | 3.6 | yes |</t>
  </si>
  <si>
    <t>Failures: 0</t>
  </si>
  <si>
    <t>2. Adjusted EBITDA: prior-year figure in later release vs first reported</t>
  </si>
  <si>
    <t>| period | segment | first reported (US$ m) | shown a year later | difference |</t>
  </si>
  <si>
    <t>|---|---|---|---|---|</t>
  </si>
  <si>
    <t>| 2020Q1 | shopee | -260.0 | -264.1 | -4.1 |</t>
  </si>
  <si>
    <t>| 2020Q1 | monee | -101.6 | -93.1 | +8.5 |</t>
  </si>
  <si>
    <t>| 2020Q2 | shopee | -305.5 | -313.7 | -8.3 |</t>
  </si>
  <si>
    <t>| 2020Q2 | monee | -110.1 | -97.5 | +12.6 |</t>
  </si>
  <si>
    <t>Rows above are restatements by Sea (e.g. segment re-allocations). The model uses first-reported values.</t>
  </si>
  <si>
    <t>3. Sum of quarters vs full-year figure</t>
  </si>
  <si>
    <t>| year | metric | full year | sum of quarters | gap % |</t>
  </si>
  <si>
    <t>| 2019 | gmv_usd_bn | 17.6 | 17.50 | -0.6 |</t>
  </si>
  <si>
    <t>| 2019 | gross_orders_bn | not printed | | |</t>
  </si>
  <si>
    <t>| 2020 | gmv_usd_bn | 35.4 | 35.40 | +0.0 |</t>
  </si>
  <si>
    <t>| 2020 | gross_orders_bn | 2.8 | 2.79 | -0.5 |</t>
  </si>
  <si>
    <t>| 2021 | gmv_usd_bn | 62.5 | 62.60 | +0.2 |</t>
  </si>
  <si>
    <t>| 2021 | gross_orders_bn | 6.1 | 6.20 | +1.6 |</t>
  </si>
  <si>
    <t>| 2022 | gmv_usd_bn | 73.5 | 73.50 | +0.0 |</t>
  </si>
  <si>
    <t>| 2022 | gross_orders_bn | 7.6 | 7.60 | +0.0 |</t>
  </si>
  <si>
    <t>| 2023 | gmv_usd_bn | 78.5 | 78.56 (includes derived 2023Q1-Q2) | +0.1 |</t>
  </si>
  <si>
    <t>| 2023 | gross_orders_bn | 8.2 | 8.14 (includes derived 2023Q1-Q2) | -0.7 |</t>
  </si>
  <si>
    <t>| 2024 | gmv_usd_bn | 100.5 | 100.60 | +0.1 |</t>
  </si>
  <si>
    <t>| 2024 | gross_orders_bn | 10.9 | 10.90 | -0.0 |</t>
  </si>
  <si>
    <t>| 2025 | gmv_usd_bn | 127.4 | 127.30 | -0.1 |</t>
  </si>
  <si>
    <t>| 2025 | gross_orders_bn | 13.9 | 14.00 | +0.7 |</t>
  </si>
  <si>
    <t>Gaps within about 3% come from Sea printing quarters rounded to 0.1 bn.</t>
  </si>
  <si>
    <t>5. Exact core marketplace revenue vs reported core YoY</t>
  </si>
  <si>
    <t>| period | reported % | computed % | ok |</t>
  </si>
  <si>
    <t>|---|---|---|---|</t>
  </si>
  <si>
    <t>| 2025Q1 | 39.2 | 39.2 | yes |</t>
  </si>
  <si>
    <t>| 2025Q2 | 46.2 | 46.2 | yes |</t>
  </si>
  <si>
    <t>| 2025Q3 | 52.8 | 52.8 | yes |</t>
  </si>
  <si>
    <t>| 2025Q4 | 50.2 | 50.2 | yes |</t>
  </si>
  <si>
    <t>| 2026Q1 | 61.0 | 61.0 | yes |</t>
  </si>
  <si>
    <t>| 2026Q2 | 65.6 | 65.6 | yes |</t>
  </si>
  <si>
    <t>4. Remaining gaps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</si>
</sst>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
    <numFmt numFmtId="167" formatCode="#,##0.0"/>
  </numFmts>
  <fonts count="7" x14ac:knownFonts="1">
    <font>
      <sz val="11"/>
      <color theme="1"/>
      <name val="Calibri"/>
      <family val="2"/>
      <scheme val="minor"/>
    </font>
    <font>
      <b/>
      <sz val="14"/>
      <color rgb="FFEE4D2D"/>
      <name val="Calibri"/>
    </font>
    <font>
      <b/>
      <sz val="11"/>
      <name val="Calibri"/>
    </font>
    <font>
      <b/>
      <sz val="11"/>
      <color rgb="FFFFFFFF"/>
      <name val="Calibri"/>
    </font>
    <font>
      <u/>
      <sz val="11"/>
      <color rgb="FF0563C1"/>
      <name val="Calibri"/>
    </font>
    <font>
      <i/>
      <sz val="11"/>
      <color rgb="FF666666"/>
      <name val="Calibri"/>
    </font>
    <font>
      <sz val="11"/>
      <name val="Calibri"/>
    </font>
  </fonts>
  <fills count="4">
    <fill>
      <patternFill patternType="none"/>
    </fill>
    <fill>
      <patternFill patternType="gray125"/>
    </fill>
    <fill>
      <patternFill patternType="solid">
        <fgColor rgb="FFEE4D2D"/>
      </patternFill>
    </fill>
    <fill>
      <patternFill patternType="solid">
        <fgColor rgb="FFFFF4CC"/>
      </patternFill>
    </fill>
  </fills>
  <borders count="2">
    <border>
      <left/>
      <right/>
      <top/>
      <bottom/>
      <diagonal/>
    </border>
    <border>
      <left/>
      <right/>
      <top/>
      <bottom style="thin">
        <color rgb="FFDDDDDD"/>
      </bottom>
      <diagonal/>
    </border>
  </borders>
  <cellStyleXfs count="1">
    <xf numFmtId="0" fontId="0" fillId="0" borderId="0"/>
  </cellStyleXfs>
  <cellXfs count="34">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0" fontId="3" fillId="2" borderId="0" xfId="0" applyFont="1" applyFill="1" applyAlignment="1">
      <alignment horizontal="center" vertical="center" wrapText="1"/>
    </xf>
    <xf numFmtId="0" fontId="0" fillId="0" borderId="1" xfId="0" applyBorder="1"/>
    <xf numFmtId="0" fontId="4" fillId="0" borderId="1" xfId="0" applyFont="1" applyBorder="1"/>
    <xf numFmtId="0" fontId="0" fillId="3" borderId="1" xfId="0" applyFill="1" applyBorder="1"/>
    <xf numFmtId="2" fontId="0" fillId="0" borderId="1" xfId="0" applyNumberFormat="1" applyBorder="1"/>
    <xf numFmtId="164" fontId="0" fillId="0" borderId="1" xfId="0" applyNumberFormat="1" applyBorder="1"/>
    <xf numFmtId="165" fontId="0" fillId="0" borderId="1" xfId="0" applyNumberFormat="1" applyBorder="1"/>
    <xf numFmtId="10" fontId="0" fillId="0" borderId="1" xfId="0" applyNumberFormat="1" applyBorder="1"/>
    <xf numFmtId="166" fontId="0" fillId="0" borderId="1" xfId="0" applyNumberFormat="1" applyBorder="1"/>
    <xf numFmtId="167" fontId="0" fillId="0" borderId="1" xfId="0" applyNumberFormat="1" applyBorder="1"/>
    <xf numFmtId="9" fontId="0" fillId="0" borderId="1" xfId="0" applyNumberFormat="1" applyBorder="1"/>
    <xf numFmtId="0" fontId="5" fillId="0" borderId="0" xfId="0" applyFont="1"/>
    <xf numFmtId="49" fontId="0" fillId="0" borderId="1" xfId="0" applyNumberFormat="1" applyBorder="1"/>
    <xf numFmtId="3" fontId="0" fillId="0" borderId="1" xfId="0" applyNumberFormat="1" applyBorder="1"/>
    <xf numFmtId="0" fontId="1" fillId="0" borderId="0" xfId="0" applyFont="1"/>
    <xf numFmtId="0" fontId="2" fillId="0" borderId="0" xfId="0" applyFont="1"/>
    <xf numFmtId="167" fontId="0" fillId="0" borderId="0" xfId="0" applyNumberFormat="1"/>
    <xf numFmtId="166" fontId="0" fillId="0" borderId="0" xfId="0" applyNumberFormat="1"/>
    <xf numFmtId="164" fontId="0" fillId="0" borderId="0" xfId="0" applyNumberFormat="1"/>
    <xf numFmtId="10" fontId="0" fillId="0" borderId="0" xfId="0" applyNumberFormat="1"/>
    <xf numFmtId="9" fontId="0" fillId="0" borderId="0" xfId="0" applyNumberFormat="1"/>
    <xf numFmtId="0" fontId="3" fillId="2" borderId="0" xfId="0" applyFont="1" applyFill="1"/>
    <xf numFmtId="164" fontId="0" fillId="3" borderId="0" xfId="0" applyNumberFormat="1" applyFill="1"/>
    <xf numFmtId="10" fontId="0" fillId="3" borderId="0" xfId="0" applyNumberFormat="1" applyFill="1"/>
    <xf numFmtId="0" fontId="6" fillId="0" borderId="0" xfId="0" applyFont="1"/>
    <xf numFmtId="166" fontId="0" fillId="0" borderId="0" xfId="0" applyNumberFormat="1" applyAlignment="1">
      <alignment horizontal="right"/>
    </xf>
    <xf numFmtId="167" fontId="0" fillId="0" borderId="0" xfId="0" applyNumberFormat="1" applyAlignment="1">
      <alignment horizontal="right"/>
    </xf>
    <xf numFmtId="49" fontId="0" fillId="0" borderId="0" xfId="0" applyNumberFormat="1" applyAlignment="1">
      <alignment horizontal="right"/>
    </xf>
    <xf numFmtId="10" fontId="0" fillId="0" borderId="0" xfId="0" applyNumberFormat="1" applyAlignment="1">
      <alignment horizontal="right"/>
    </xf>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Shopee take rate: fees + ads vs logistics (% GMV)</a:t>
            </a:r>
          </a:p>
        </c:rich>
      </c:tx>
      <c:overlay val="1"/>
    </c:title>
    <c:autoTitleDeleted val="0"/>
    <c:plotArea>
      <c:layout/>
      <c:lineChart>
        <c:grouping val="standard"/>
        <c:varyColors val="0"/>
        <c:ser>
          <c:idx val="0"/>
          <c:order val="0"/>
          <c:tx>
            <c:v>Core take rate (fees + ads)</c:v>
          </c:tx>
          <c:spPr>
            <a:ln>
              <a:solidFill>
                <a:srgbClr val="EE4D2D"/>
              </a:solidFill>
              <a:prstDash val="solid"/>
            </a:ln>
          </c:spPr>
          <c:marker>
            <c:symbol val="none"/>
          </c:marker>
          <c:cat>
            <c:strRef>
              <c:f>Shopee_Metrics!$A$16:$A$31</c:f>
              <c:strCache>
                <c:ptCount val="16"/>
                <c:pt idx="0">
                  <c:v>2022Q3</c:v>
                </c:pt>
                <c:pt idx="1">
                  <c:v>2022Q4</c:v>
                </c:pt>
                <c:pt idx="2">
                  <c:v>2023Q1</c:v>
                </c:pt>
                <c:pt idx="3">
                  <c:v>2023Q2</c:v>
                </c:pt>
                <c:pt idx="4">
                  <c:v>2023Q3</c:v>
                </c:pt>
                <c:pt idx="5">
                  <c:v>2023Q4</c:v>
                </c:pt>
                <c:pt idx="6">
                  <c:v>2024Q1</c:v>
                </c:pt>
                <c:pt idx="7">
                  <c:v>2024Q2</c:v>
                </c:pt>
                <c:pt idx="8">
                  <c:v>2024Q3</c:v>
                </c:pt>
                <c:pt idx="9">
                  <c:v>2024Q4</c:v>
                </c:pt>
                <c:pt idx="10">
                  <c:v>2025Q1</c:v>
                </c:pt>
                <c:pt idx="11">
                  <c:v>2025Q2</c:v>
                </c:pt>
                <c:pt idx="12">
                  <c:v>2025Q3</c:v>
                </c:pt>
                <c:pt idx="13">
                  <c:v>2025Q4</c:v>
                </c:pt>
                <c:pt idx="14">
                  <c:v>2026Q1</c:v>
                </c:pt>
                <c:pt idx="15">
                  <c:v>2026Q2</c:v>
                </c:pt>
              </c:strCache>
            </c:strRef>
          </c:cat>
          <c:val>
            <c:numRef>
              <c:f>Shopee_Metrics!$D$16:$D$31</c:f>
              <c:numCache>
                <c:formatCode>0.0%</c:formatCode>
                <c:ptCount val="16"/>
                <c:pt idx="0">
                  <c:v>5.2356020942408377E-2</c:v>
                </c:pt>
                <c:pt idx="1">
                  <c:v>6.1111111111111109E-2</c:v>
                </c:pt>
                <c:pt idx="2">
                  <c:v>6.9304071614207333E-2</c:v>
                </c:pt>
                <c:pt idx="3">
                  <c:v>6.6489361702127658E-2</c:v>
                </c:pt>
                <c:pt idx="4">
                  <c:v>6.4676616915422883E-2</c:v>
                </c:pt>
                <c:pt idx="5">
                  <c:v>6.9264069264069264E-2</c:v>
                </c:pt>
                <c:pt idx="6">
                  <c:v>7.204406779661017E-2</c:v>
                </c:pt>
                <c:pt idx="7">
                  <c:v>7.5430472103004284E-2</c:v>
                </c:pt>
                <c:pt idx="8">
                  <c:v>7.967980079681275E-2</c:v>
                </c:pt>
                <c:pt idx="9">
                  <c:v>8.3836713286713285E-2</c:v>
                </c:pt>
                <c:pt idx="10">
                  <c:v>8.2752832167832177E-2</c:v>
                </c:pt>
                <c:pt idx="11">
                  <c:v>8.6213255033557049E-2</c:v>
                </c:pt>
                <c:pt idx="12">
                  <c:v>9.4878260869565204E-2</c:v>
                </c:pt>
                <c:pt idx="13">
                  <c:v>9.8123378746594006E-2</c:v>
                </c:pt>
                <c:pt idx="14">
                  <c:v>0.10218525469168901</c:v>
                </c:pt>
                <c:pt idx="15">
                  <c:v>0.11110864229765013</c:v>
                </c:pt>
              </c:numCache>
            </c:numRef>
          </c:val>
          <c:smooth val="0"/>
          <c:extLst>
            <c:ext xmlns:c16="http://schemas.microsoft.com/office/drawing/2014/chart" uri="{C3380CC4-5D6E-409C-BE32-E72D297353CC}">
              <c16:uniqueId val="{00000000-F00A-4296-88C4-F531EE2C9019}"/>
            </c:ext>
          </c:extLst>
        </c:ser>
        <c:ser>
          <c:idx val="1"/>
          <c:order val="1"/>
          <c:tx>
            <c:v>VAS (logistics) % GMV</c:v>
          </c:tx>
          <c:spPr>
            <a:ln>
              <a:solidFill>
                <a:srgbClr val="555555"/>
              </a:solidFill>
              <a:prstDash val="solid"/>
            </a:ln>
          </c:spPr>
          <c:marker>
            <c:symbol val="none"/>
          </c:marker>
          <c:cat>
            <c:strRef>
              <c:f>Shopee_Metrics!$A$16:$A$31</c:f>
              <c:strCache>
                <c:ptCount val="16"/>
                <c:pt idx="0">
                  <c:v>2022Q3</c:v>
                </c:pt>
                <c:pt idx="1">
                  <c:v>2022Q4</c:v>
                </c:pt>
                <c:pt idx="2">
                  <c:v>2023Q1</c:v>
                </c:pt>
                <c:pt idx="3">
                  <c:v>2023Q2</c:v>
                </c:pt>
                <c:pt idx="4">
                  <c:v>2023Q3</c:v>
                </c:pt>
                <c:pt idx="5">
                  <c:v>2023Q4</c:v>
                </c:pt>
                <c:pt idx="6">
                  <c:v>2024Q1</c:v>
                </c:pt>
                <c:pt idx="7">
                  <c:v>2024Q2</c:v>
                </c:pt>
                <c:pt idx="8">
                  <c:v>2024Q3</c:v>
                </c:pt>
                <c:pt idx="9">
                  <c:v>2024Q4</c:v>
                </c:pt>
                <c:pt idx="10">
                  <c:v>2025Q1</c:v>
                </c:pt>
                <c:pt idx="11">
                  <c:v>2025Q2</c:v>
                </c:pt>
                <c:pt idx="12">
                  <c:v>2025Q3</c:v>
                </c:pt>
                <c:pt idx="13">
                  <c:v>2025Q4</c:v>
                </c:pt>
                <c:pt idx="14">
                  <c:v>2026Q1</c:v>
                </c:pt>
                <c:pt idx="15">
                  <c:v>2026Q2</c:v>
                </c:pt>
              </c:strCache>
            </c:strRef>
          </c:cat>
          <c:val>
            <c:numRef>
              <c:f>Shopee_Metrics!$E$16:$E$31</c:f>
              <c:numCache>
                <c:formatCode>0.0%</c:formatCode>
                <c:ptCount val="16"/>
                <c:pt idx="0">
                  <c:v>3.1413612565445025E-2</c:v>
                </c:pt>
                <c:pt idx="1">
                  <c:v>3.888888888888889E-2</c:v>
                </c:pt>
                <c:pt idx="2">
                  <c:v>4.042737510828761E-2</c:v>
                </c:pt>
                <c:pt idx="3">
                  <c:v>3.4640957446808514E-2</c:v>
                </c:pt>
                <c:pt idx="4">
                  <c:v>2.9492537313432834E-2</c:v>
                </c:pt>
                <c:pt idx="5">
                  <c:v>2.8480519480519481E-2</c:v>
                </c:pt>
                <c:pt idx="6">
                  <c:v>3.0614406779661017E-2</c:v>
                </c:pt>
                <c:pt idx="7">
                  <c:v>3.1E-2</c:v>
                </c:pt>
                <c:pt idx="8">
                  <c:v>3.056573705179283E-2</c:v>
                </c:pt>
                <c:pt idx="9">
                  <c:v>2.779020979020979E-2</c:v>
                </c:pt>
                <c:pt idx="10">
                  <c:v>2.6300699300699303E-2</c:v>
                </c:pt>
                <c:pt idx="11">
                  <c:v>2.4932885906040269E-2</c:v>
                </c:pt>
                <c:pt idx="12">
                  <c:v>2.2472049689440991E-2</c:v>
                </c:pt>
                <c:pt idx="13">
                  <c:v>2.0027247956403271E-2</c:v>
                </c:pt>
                <c:pt idx="14">
                  <c:v>1.8541554959785524E-2</c:v>
                </c:pt>
                <c:pt idx="15">
                  <c:v>1.7660574412532635E-2</c:v>
                </c:pt>
              </c:numCache>
            </c:numRef>
          </c:val>
          <c:smooth val="0"/>
          <c:extLst>
            <c:ext xmlns:c16="http://schemas.microsoft.com/office/drawing/2014/chart" uri="{C3380CC4-5D6E-409C-BE32-E72D297353CC}">
              <c16:uniqueId val="{00000001-F00A-4296-88C4-F531EE2C9019}"/>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 sourceLinked="0"/>
        <c:majorTickMark val="none"/>
        <c:minorTickMark val="none"/>
        <c:tickLblPos val="nextTo"/>
        <c:crossAx val="10"/>
        <c:crosses val="autoZero"/>
        <c:crossBetween val="between"/>
      </c:valAx>
    </c:plotArea>
    <c:legend>
      <c:legendPos val="t"/>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Shopee adjusted EBITDA % GMV</a:t>
            </a:r>
          </a:p>
        </c:rich>
      </c:tx>
      <c:overlay val="1"/>
    </c:title>
    <c:autoTitleDeleted val="0"/>
    <c:plotArea>
      <c:layout/>
      <c:lineChart>
        <c:grouping val="standard"/>
        <c:varyColors val="0"/>
        <c:ser>
          <c:idx val="0"/>
          <c:order val="0"/>
          <c:tx>
            <c:v>Adj. EBITDA % GMV</c:v>
          </c:tx>
          <c:spPr>
            <a:ln>
              <a:solidFill>
                <a:srgbClr val="EE4D2D"/>
              </a:solidFill>
              <a:prstDash val="solid"/>
            </a:ln>
          </c:spPr>
          <c:marker>
            <c:symbol val="none"/>
          </c:marker>
          <c:cat>
            <c:strRef>
              <c:f>Shopee_Metrics!$A$2:$A$31</c:f>
              <c:strCache>
                <c:ptCount val="30"/>
                <c:pt idx="0">
                  <c:v>2019Q1</c:v>
                </c:pt>
                <c:pt idx="1">
                  <c:v>2019Q2</c:v>
                </c:pt>
                <c:pt idx="2">
                  <c:v>2019Q3</c:v>
                </c:pt>
                <c:pt idx="3">
                  <c:v>2019Q4</c:v>
                </c:pt>
                <c:pt idx="4">
                  <c:v>2020Q1</c:v>
                </c:pt>
                <c:pt idx="5">
                  <c:v>2020Q2</c:v>
                </c:pt>
                <c:pt idx="6">
                  <c:v>2020Q3</c:v>
                </c:pt>
                <c:pt idx="7">
                  <c:v>2020Q4</c:v>
                </c:pt>
                <c:pt idx="8">
                  <c:v>2021Q1</c:v>
                </c:pt>
                <c:pt idx="9">
                  <c:v>2021Q2</c:v>
                </c:pt>
                <c:pt idx="10">
                  <c:v>2021Q3</c:v>
                </c:pt>
                <c:pt idx="11">
                  <c:v>2021Q4</c:v>
                </c:pt>
                <c:pt idx="12">
                  <c:v>2022Q1</c:v>
                </c:pt>
                <c:pt idx="13">
                  <c:v>2022Q2</c:v>
                </c:pt>
                <c:pt idx="14">
                  <c:v>2022Q3</c:v>
                </c:pt>
                <c:pt idx="15">
                  <c:v>2022Q4</c:v>
                </c:pt>
                <c:pt idx="16">
                  <c:v>2023Q1</c:v>
                </c:pt>
                <c:pt idx="17">
                  <c:v>2023Q2</c:v>
                </c:pt>
                <c:pt idx="18">
                  <c:v>2023Q3</c:v>
                </c:pt>
                <c:pt idx="19">
                  <c:v>2023Q4</c:v>
                </c:pt>
                <c:pt idx="20">
                  <c:v>2024Q1</c:v>
                </c:pt>
                <c:pt idx="21">
                  <c:v>2024Q2</c:v>
                </c:pt>
                <c:pt idx="22">
                  <c:v>2024Q3</c:v>
                </c:pt>
                <c:pt idx="23">
                  <c:v>2024Q4</c:v>
                </c:pt>
                <c:pt idx="24">
                  <c:v>2025Q1</c:v>
                </c:pt>
                <c:pt idx="25">
                  <c:v>2025Q2</c:v>
                </c:pt>
                <c:pt idx="26">
                  <c:v>2025Q3</c:v>
                </c:pt>
                <c:pt idx="27">
                  <c:v>2025Q4</c:v>
                </c:pt>
                <c:pt idx="28">
                  <c:v>2026Q1</c:v>
                </c:pt>
                <c:pt idx="29">
                  <c:v>2026Q2</c:v>
                </c:pt>
              </c:strCache>
            </c:strRef>
          </c:cat>
          <c:val>
            <c:numRef>
              <c:f>Shopee_Metrics!$G$2:$G$31</c:f>
              <c:numCache>
                <c:formatCode>0.00%</c:formatCode>
                <c:ptCount val="30"/>
                <c:pt idx="0">
                  <c:v>-6.7215142857142848E-2</c:v>
                </c:pt>
                <c:pt idx="1">
                  <c:v>-6.5329210526315795E-2</c:v>
                </c:pt>
                <c:pt idx="2">
                  <c:v>-5.5154782608695649E-2</c:v>
                </c:pt>
                <c:pt idx="3">
                  <c:v>-5.4669642857142854E-2</c:v>
                </c:pt>
                <c:pt idx="4">
                  <c:v>-4.1938548387096777E-2</c:v>
                </c:pt>
                <c:pt idx="5">
                  <c:v>-3.8184625E-2</c:v>
                </c:pt>
                <c:pt idx="6">
                  <c:v>-3.2429032258064511E-2</c:v>
                </c:pt>
                <c:pt idx="7">
                  <c:v>-3.5922184873949582E-2</c:v>
                </c:pt>
                <c:pt idx="8">
                  <c:v>-3.2769603174603174E-2</c:v>
                </c:pt>
                <c:pt idx="9">
                  <c:v>-3.8651600000000001E-2</c:v>
                </c:pt>
                <c:pt idx="10">
                  <c:v>-4.070315476190476E-2</c:v>
                </c:pt>
                <c:pt idx="11">
                  <c:v>-4.8227307692307687E-2</c:v>
                </c:pt>
                <c:pt idx="12">
                  <c:v>-4.2690804597701151E-2</c:v>
                </c:pt>
                <c:pt idx="13">
                  <c:v>-3.4112894736842106E-2</c:v>
                </c:pt>
                <c:pt idx="14">
                  <c:v>-2.5954712041884816E-2</c:v>
                </c:pt>
                <c:pt idx="15">
                  <c:v>1.0896999999999999E-2</c:v>
                </c:pt>
                <c:pt idx="16">
                  <c:v>1.1996188276061219E-2</c:v>
                </c:pt>
                <c:pt idx="17">
                  <c:v>8.3299534574468089E-3</c:v>
                </c:pt>
                <c:pt idx="18">
                  <c:v>-1.7238557213930347E-2</c:v>
                </c:pt>
                <c:pt idx="19">
                  <c:v>-9.7546320346320343E-3</c:v>
                </c:pt>
                <c:pt idx="20">
                  <c:v>-9.1949152542372876E-4</c:v>
                </c:pt>
                <c:pt idx="21">
                  <c:v>-3.9399141630901287E-4</c:v>
                </c:pt>
                <c:pt idx="22">
                  <c:v>1.3723505976095617E-3</c:v>
                </c:pt>
                <c:pt idx="23">
                  <c:v>5.3219930069930074E-3</c:v>
                </c:pt>
                <c:pt idx="24">
                  <c:v>9.2453496503496491E-3</c:v>
                </c:pt>
                <c:pt idx="25">
                  <c:v>7.640738255033557E-3</c:v>
                </c:pt>
                <c:pt idx="26">
                  <c:v>5.7781055900621115E-3</c:v>
                </c:pt>
                <c:pt idx="27">
                  <c:v>5.5165395095367843E-3</c:v>
                </c:pt>
                <c:pt idx="28">
                  <c:v>5.9832171581769436E-3</c:v>
                </c:pt>
                <c:pt idx="29">
                  <c:v>6.6689033942558748E-3</c:v>
                </c:pt>
              </c:numCache>
            </c:numRef>
          </c:val>
          <c:smooth val="0"/>
          <c:extLst>
            <c:ext xmlns:c16="http://schemas.microsoft.com/office/drawing/2014/chart" uri="{C3380CC4-5D6E-409C-BE32-E72D297353CC}">
              <c16:uniqueId val="{00000000-8CAC-4AF2-A653-A76044EB557F}"/>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Monee loans (US$ bn) - measure changes in 2023Q3 and 2023Q4, see Loan basis</a:t>
            </a:r>
          </a:p>
        </c:rich>
      </c:tx>
      <c:overlay val="1"/>
    </c:title>
    <c:autoTitleDeleted val="0"/>
    <c:plotArea>
      <c:layout/>
      <c:barChart>
        <c:barDir val="col"/>
        <c:grouping val="clustered"/>
        <c:varyColors val="0"/>
        <c:ser>
          <c:idx val="0"/>
          <c:order val="0"/>
          <c:spPr>
            <a:solidFill>
              <a:srgbClr val="EE4D2D"/>
            </a:solidFill>
            <a:ln>
              <a:prstDash val="solid"/>
            </a:ln>
          </c:spPr>
          <c:invertIfNegative val="1"/>
          <c:cat>
            <c:strRef>
              <c:f>Monee!$A$16:$A$31</c:f>
              <c:strCache>
                <c:ptCount val="16"/>
                <c:pt idx="0">
                  <c:v>2022Q3</c:v>
                </c:pt>
                <c:pt idx="1">
                  <c:v>2022Q4</c:v>
                </c:pt>
                <c:pt idx="2">
                  <c:v>2023Q1</c:v>
                </c:pt>
                <c:pt idx="3">
                  <c:v>2023Q2</c:v>
                </c:pt>
                <c:pt idx="4">
                  <c:v>2023Q3</c:v>
                </c:pt>
                <c:pt idx="5">
                  <c:v>2023Q4</c:v>
                </c:pt>
                <c:pt idx="6">
                  <c:v>2024Q1</c:v>
                </c:pt>
                <c:pt idx="7">
                  <c:v>2024Q2</c:v>
                </c:pt>
                <c:pt idx="8">
                  <c:v>2024Q3</c:v>
                </c:pt>
                <c:pt idx="9">
                  <c:v>2024Q4</c:v>
                </c:pt>
                <c:pt idx="10">
                  <c:v>2025Q1</c:v>
                </c:pt>
                <c:pt idx="11">
                  <c:v>2025Q2</c:v>
                </c:pt>
                <c:pt idx="12">
                  <c:v>2025Q3</c:v>
                </c:pt>
                <c:pt idx="13">
                  <c:v>2025Q4</c:v>
                </c:pt>
                <c:pt idx="14">
                  <c:v>2026Q1</c:v>
                </c:pt>
                <c:pt idx="15">
                  <c:v>2026Q2</c:v>
                </c:pt>
              </c:strCache>
            </c:strRef>
          </c:cat>
          <c:val>
            <c:numRef>
              <c:f>Monee!$E$16:$E$31</c:f>
              <c:numCache>
                <c:formatCode>0.0</c:formatCode>
                <c:ptCount val="16"/>
                <c:pt idx="0">
                  <c:v>2.2000000000000002</c:v>
                </c:pt>
                <c:pt idx="1">
                  <c:v>2.1</c:v>
                </c:pt>
                <c:pt idx="2">
                  <c:v>2</c:v>
                </c:pt>
                <c:pt idx="3">
                  <c:v>2</c:v>
                </c:pt>
                <c:pt idx="4">
                  <c:v>2.4</c:v>
                </c:pt>
                <c:pt idx="5">
                  <c:v>3.1</c:v>
                </c:pt>
                <c:pt idx="6">
                  <c:v>3.3</c:v>
                </c:pt>
                <c:pt idx="7">
                  <c:v>3.5</c:v>
                </c:pt>
                <c:pt idx="8">
                  <c:v>4.5999999999999996</c:v>
                </c:pt>
                <c:pt idx="9">
                  <c:v>5.0999999999999996</c:v>
                </c:pt>
                <c:pt idx="10">
                  <c:v>5.8</c:v>
                </c:pt>
                <c:pt idx="11">
                  <c:v>6.9</c:v>
                </c:pt>
                <c:pt idx="12">
                  <c:v>7.9</c:v>
                </c:pt>
                <c:pt idx="13">
                  <c:v>9.1999999999999993</c:v>
                </c:pt>
                <c:pt idx="14">
                  <c:v>9.9</c:v>
                </c:pt>
                <c:pt idx="15">
                  <c:v>11.1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808-465C-8ED3-A9BED2E5E5CE}"/>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15</xdr:col>
      <xdr:colOff>0</xdr:colOff>
      <xdr:row>1</xdr:row>
      <xdr:rowOff>0</xdr:rowOff>
    </xdr:from>
    <xdr:ext cx="6480000" cy="288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15</xdr:col>
      <xdr:colOff>0</xdr:colOff>
      <xdr:row>19</xdr:row>
      <xdr:rowOff>0</xdr:rowOff>
    </xdr:from>
    <xdr:ext cx="6480000" cy="288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12</xdr:col>
      <xdr:colOff>0</xdr:colOff>
      <xdr:row>1</xdr:row>
      <xdr:rowOff>0</xdr:rowOff>
    </xdr:from>
    <xdr:ext cx="6480000" cy="288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www.sec.gov/Archives/edgar/data/1703399/000110465921030723/tm218417d1_ex99-1.htm" TargetMode="External"/><Relationship Id="rId13" Type="http://schemas.openxmlformats.org/officeDocument/2006/relationships/hyperlink" Target="https://www.sec.gov/Archives/edgar/data/1703399/000110465922061936/tm2215818d1_ex99-1.htm" TargetMode="External"/><Relationship Id="rId18" Type="http://schemas.openxmlformats.org/officeDocument/2006/relationships/hyperlink" Target="https://www.sec.gov/Archives/edgar/data/1703399/000110465923091949/tm2323800d1_ex99-1.htm" TargetMode="External"/><Relationship Id="rId26" Type="http://schemas.openxmlformats.org/officeDocument/2006/relationships/hyperlink" Target="https://www.sec.gov/Archives/edgar/data/1703399/000119312525178935/d411448dex991.htm" TargetMode="External"/><Relationship Id="rId3" Type="http://schemas.openxmlformats.org/officeDocument/2006/relationships/hyperlink" Target="https://www.sec.gov/Archives/edgar/data/1703399/000110465919062612/tm1922572d1_ex99-1.htm" TargetMode="External"/><Relationship Id="rId21" Type="http://schemas.openxmlformats.org/officeDocument/2006/relationships/hyperlink" Target="https://www.sec.gov/Archives/edgar/data/1703399/000119312524138204/d838689dex991.htm" TargetMode="External"/><Relationship Id="rId7" Type="http://schemas.openxmlformats.org/officeDocument/2006/relationships/hyperlink" Target="https://www.sec.gov/Archives/edgar/data/1703399/000110465920126361/tm2036227d1_ex99-1.htm" TargetMode="External"/><Relationship Id="rId12" Type="http://schemas.openxmlformats.org/officeDocument/2006/relationships/hyperlink" Target="https://www.sec.gov/Archives/edgar/data/1703399/000110465922028659/tm228005d1_ex99-1.htm" TargetMode="External"/><Relationship Id="rId17" Type="http://schemas.openxmlformats.org/officeDocument/2006/relationships/hyperlink" Target="https://www.sec.gov/Archives/edgar/data/1703399/000110465923061370/tm2315921d1_ex99-1.htm" TargetMode="External"/><Relationship Id="rId25" Type="http://schemas.openxmlformats.org/officeDocument/2006/relationships/hyperlink" Target="https://www.sec.gov/Archives/edgar/data/1703399/000119312525118807/d80392dex991.htm" TargetMode="External"/><Relationship Id="rId2" Type="http://schemas.openxmlformats.org/officeDocument/2006/relationships/hyperlink" Target="https://www.sec.gov/Archives/edgar/data/1703399/000114420419040829/tv528007_ex99-1.htm" TargetMode="External"/><Relationship Id="rId16" Type="http://schemas.openxmlformats.org/officeDocument/2006/relationships/hyperlink" Target="https://www.sec.gov/Archives/edgar/data/1703399/000110465923029545/tm238717d1_ex99-1.htm" TargetMode="External"/><Relationship Id="rId20" Type="http://schemas.openxmlformats.org/officeDocument/2006/relationships/hyperlink" Target="https://www.sec.gov/Archives/edgar/data/1703399/000110465924030484/tm247857d1_ex99-1.htm" TargetMode="External"/><Relationship Id="rId29" Type="http://schemas.openxmlformats.org/officeDocument/2006/relationships/hyperlink" Target="https://www.sec.gov/Archives/edgar/data/1703399/000119312526219378/d78490dex991.htm" TargetMode="External"/><Relationship Id="rId1" Type="http://schemas.openxmlformats.org/officeDocument/2006/relationships/hyperlink" Target="https://www.sec.gov/Archives/edgar/data/1703399/000114420419027583/tv522220_ex99-1.htm" TargetMode="External"/><Relationship Id="rId6" Type="http://schemas.openxmlformats.org/officeDocument/2006/relationships/hyperlink" Target="https://www.sec.gov/Archives/edgar/data/1703399/000110465920096531/tm2028889d1_ex99-1.htm" TargetMode="External"/><Relationship Id="rId11" Type="http://schemas.openxmlformats.org/officeDocument/2006/relationships/hyperlink" Target="https://www.sec.gov/Archives/edgar/data/1703399/000110465921139938/tm2133106d1_ex99-1.htm" TargetMode="External"/><Relationship Id="rId24" Type="http://schemas.openxmlformats.org/officeDocument/2006/relationships/hyperlink" Target="https://www.sec.gov/Archives/edgar/data/1703399/000119312525045576/d930776dex991.htm" TargetMode="External"/><Relationship Id="rId5" Type="http://schemas.openxmlformats.org/officeDocument/2006/relationships/hyperlink" Target="https://www.sec.gov/Archives/edgar/data/1703399/000114036120011859/nt10012039x3_ex99-1.htm" TargetMode="External"/><Relationship Id="rId15" Type="http://schemas.openxmlformats.org/officeDocument/2006/relationships/hyperlink" Target="https://www.sec.gov/Archives/edgar/data/1703399/000110465922119122/tm2230567d1_ex99-1.htm" TargetMode="External"/><Relationship Id="rId23" Type="http://schemas.openxmlformats.org/officeDocument/2006/relationships/hyperlink" Target="https://www.sec.gov/Archives/edgar/data/1703399/000110465924116768/tm2428140d1_ex99-1.htm" TargetMode="External"/><Relationship Id="rId28" Type="http://schemas.openxmlformats.org/officeDocument/2006/relationships/hyperlink" Target="https://www.sec.gov/Archives/edgar/data/1703399/000119312526088151/d106475dex991.htm" TargetMode="External"/><Relationship Id="rId10" Type="http://schemas.openxmlformats.org/officeDocument/2006/relationships/hyperlink" Target="https://www.sec.gov/Archives/edgar/data/1703399/000110465921107005/tm2125304d1_ex99-1.htm" TargetMode="External"/><Relationship Id="rId19" Type="http://schemas.openxmlformats.org/officeDocument/2006/relationships/hyperlink" Target="https://www.sec.gov/Archives/edgar/data/1703399/000110465923118070/tm2330670d1_ex99-1.htm" TargetMode="External"/><Relationship Id="rId4" Type="http://schemas.openxmlformats.org/officeDocument/2006/relationships/hyperlink" Target="https://www.sec.gov/Archives/edgar/data/1703399/000110465920028528/tm2011562d1_ex99-1.htm" TargetMode="External"/><Relationship Id="rId9" Type="http://schemas.openxmlformats.org/officeDocument/2006/relationships/hyperlink" Target="https://www.sec.gov/Archives/edgar/data/1703399/000110465921068821/tm2116820d1_ex99-1.htm" TargetMode="External"/><Relationship Id="rId14" Type="http://schemas.openxmlformats.org/officeDocument/2006/relationships/hyperlink" Target="https://www.sec.gov/Archives/edgar/data/1703399/000110465922091743/tm2223563d1_ex99-1.htm" TargetMode="External"/><Relationship Id="rId22" Type="http://schemas.openxmlformats.org/officeDocument/2006/relationships/hyperlink" Target="https://www.sec.gov/Archives/edgar/data/1703399/000110465924088947/tm2421549d1_ex99-1.htm" TargetMode="External"/><Relationship Id="rId27" Type="http://schemas.openxmlformats.org/officeDocument/2006/relationships/hyperlink" Target="https://www.sec.gov/Archives/edgar/data/1703399/000119312525275616/d75589dex991.htm" TargetMode="External"/><Relationship Id="rId30" Type="http://schemas.openxmlformats.org/officeDocument/2006/relationships/hyperlink" Target="https://www.sec.gov/Archives/edgar/data/1703399/000119312526344596/d120948dex991.ht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3"/>
  <sheetViews>
    <sheetView tabSelected="1" workbookViewId="0"/>
  </sheetViews>
  <sheetFormatPr defaultRowHeight="14.5" x14ac:dyDescent="0.35"/>
  <cols>
    <col min="1" max="1" width="120" customWidth="1"/>
  </cols>
  <sheetData>
    <row r="1" spans="1:1" ht="18.5" x14ac:dyDescent="0.35">
      <c r="A1" s="1" t="s">
        <v>0</v>
      </c>
    </row>
    <row r="2" spans="1:1" x14ac:dyDescent="0.35">
      <c r="A2" s="2" t="s">
        <v>1</v>
      </c>
    </row>
    <row r="3" spans="1:1" ht="29" x14ac:dyDescent="0.35">
      <c r="A3" s="2" t="s">
        <v>2</v>
      </c>
    </row>
    <row r="4" spans="1:1" x14ac:dyDescent="0.35">
      <c r="A4" s="2"/>
    </row>
    <row r="5" spans="1:1" x14ac:dyDescent="0.35">
      <c r="A5" s="3" t="s">
        <v>3</v>
      </c>
    </row>
    <row r="6" spans="1:1" x14ac:dyDescent="0.35">
      <c r="A6" s="2" t="s">
        <v>4</v>
      </c>
    </row>
    <row r="7" spans="1:1" x14ac:dyDescent="0.35">
      <c r="A7" s="2" t="s">
        <v>5</v>
      </c>
    </row>
    <row r="8" spans="1:1" x14ac:dyDescent="0.35">
      <c r="A8" s="2"/>
    </row>
    <row r="9" spans="1:1" x14ac:dyDescent="0.35">
      <c r="A9" s="3" t="s">
        <v>6</v>
      </c>
    </row>
    <row r="10" spans="1:1" x14ac:dyDescent="0.35">
      <c r="A10" s="2" t="s">
        <v>7</v>
      </c>
    </row>
    <row r="11" spans="1:1" ht="29" x14ac:dyDescent="0.35">
      <c r="A11" s="2" t="s">
        <v>8</v>
      </c>
    </row>
    <row r="12" spans="1:1" x14ac:dyDescent="0.35">
      <c r="A12" s="2" t="s">
        <v>9</v>
      </c>
    </row>
    <row r="13" spans="1:1" ht="29" x14ac:dyDescent="0.35">
      <c r="A13" s="2" t="s">
        <v>10</v>
      </c>
    </row>
    <row r="14" spans="1:1" x14ac:dyDescent="0.35">
      <c r="A14" s="2"/>
    </row>
    <row r="15" spans="1:1" x14ac:dyDescent="0.35">
      <c r="A15" s="3" t="s">
        <v>11</v>
      </c>
    </row>
    <row r="16" spans="1:1" ht="29" x14ac:dyDescent="0.35">
      <c r="A16" s="2" t="s">
        <v>12</v>
      </c>
    </row>
    <row r="17" spans="1:1" ht="29" x14ac:dyDescent="0.35">
      <c r="A17" s="2" t="s">
        <v>13</v>
      </c>
    </row>
    <row r="18" spans="1:1" ht="29" x14ac:dyDescent="0.35">
      <c r="A18" s="2" t="s">
        <v>14</v>
      </c>
    </row>
    <row r="19" spans="1:1" x14ac:dyDescent="0.35">
      <c r="A19" s="2" t="s">
        <v>15</v>
      </c>
    </row>
    <row r="20" spans="1:1" ht="29" x14ac:dyDescent="0.35">
      <c r="A20" s="2" t="s">
        <v>16</v>
      </c>
    </row>
    <row r="21" spans="1:1" ht="29" x14ac:dyDescent="0.35">
      <c r="A21" s="2" t="s">
        <v>17</v>
      </c>
    </row>
    <row r="22" spans="1:1" ht="29" x14ac:dyDescent="0.35">
      <c r="A22" s="2" t="s">
        <v>18</v>
      </c>
    </row>
    <row r="23" spans="1:1" x14ac:dyDescent="0.35">
      <c r="A23" s="2"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1"/>
  <sheetViews>
    <sheetView workbookViewId="0">
      <pane xSplit="1" ySplit="1" topLeftCell="B2" activePane="bottomRight" state="frozen"/>
      <selection pane="topRight"/>
      <selection pane="bottomLeft"/>
      <selection pane="bottomRight"/>
    </sheetView>
  </sheetViews>
  <sheetFormatPr defaultRowHeight="14.5" x14ac:dyDescent="0.35"/>
  <cols>
    <col min="1" max="3" width="14" customWidth="1"/>
    <col min="4" max="4" width="20" customWidth="1"/>
    <col min="5" max="5" width="14" customWidth="1"/>
    <col min="6" max="6" width="20" customWidth="1"/>
    <col min="7" max="16" width="14" customWidth="1"/>
    <col min="17" max="17" width="34" customWidth="1"/>
    <col min="18" max="19" width="14" customWidth="1"/>
    <col min="20" max="20" width="18" customWidth="1"/>
  </cols>
  <sheetData>
    <row r="1" spans="1:20" ht="42" customHeight="1" x14ac:dyDescent="0.35">
      <c r="A1" s="4" t="s">
        <v>20</v>
      </c>
      <c r="B1" s="4" t="s">
        <v>21</v>
      </c>
      <c r="C1" s="4" t="s">
        <v>22</v>
      </c>
      <c r="D1" s="4" t="s">
        <v>23</v>
      </c>
      <c r="E1" s="4" t="s">
        <v>24</v>
      </c>
      <c r="F1" s="4" t="s">
        <v>25</v>
      </c>
      <c r="G1" s="4" t="s">
        <v>26</v>
      </c>
      <c r="H1" s="4" t="s">
        <v>27</v>
      </c>
      <c r="I1" s="4" t="s">
        <v>28</v>
      </c>
      <c r="J1" s="4" t="s">
        <v>29</v>
      </c>
      <c r="K1" s="4" t="s">
        <v>30</v>
      </c>
      <c r="L1" s="4" t="s">
        <v>31</v>
      </c>
      <c r="M1" s="4" t="s">
        <v>32</v>
      </c>
      <c r="N1" s="4" t="s">
        <v>33</v>
      </c>
      <c r="O1" s="4" t="s">
        <v>34</v>
      </c>
      <c r="P1" s="4" t="s">
        <v>35</v>
      </c>
      <c r="Q1" s="4" t="s">
        <v>36</v>
      </c>
      <c r="R1" s="4" t="s">
        <v>37</v>
      </c>
      <c r="S1" s="4" t="s">
        <v>38</v>
      </c>
      <c r="T1" s="4" t="s">
        <v>39</v>
      </c>
    </row>
    <row r="2" spans="1:20" x14ac:dyDescent="0.35">
      <c r="A2" s="5" t="s">
        <v>40</v>
      </c>
      <c r="B2" s="5" t="s">
        <v>41</v>
      </c>
      <c r="C2" s="5">
        <v>3.5</v>
      </c>
      <c r="D2" s="5" t="s">
        <v>42</v>
      </c>
      <c r="E2" s="5">
        <v>0.20349999999999999</v>
      </c>
      <c r="F2" s="5" t="s">
        <v>42</v>
      </c>
      <c r="G2" s="5">
        <v>81.8</v>
      </c>
      <c r="H2" s="5">
        <v>82.7</v>
      </c>
      <c r="I2" s="5">
        <v>149.19999999999999</v>
      </c>
      <c r="J2" s="5">
        <v>102</v>
      </c>
      <c r="K2" s="5"/>
      <c r="L2" s="5"/>
      <c r="M2" s="5">
        <v>-235.25299999999999</v>
      </c>
      <c r="N2" s="5"/>
      <c r="O2" s="5">
        <v>-11.912000000000001</v>
      </c>
      <c r="P2" s="5"/>
      <c r="Q2" s="5"/>
      <c r="R2" s="5"/>
      <c r="S2" s="5"/>
      <c r="T2" s="6" t="s">
        <v>43</v>
      </c>
    </row>
    <row r="3" spans="1:20" x14ac:dyDescent="0.35">
      <c r="A3" s="5" t="s">
        <v>44</v>
      </c>
      <c r="B3" s="5" t="s">
        <v>45</v>
      </c>
      <c r="C3" s="5">
        <v>3.8</v>
      </c>
      <c r="D3" s="5" t="s">
        <v>42</v>
      </c>
      <c r="E3" s="5">
        <v>0.24629999999999999</v>
      </c>
      <c r="F3" s="5" t="s">
        <v>42</v>
      </c>
      <c r="G3" s="5">
        <v>72.3</v>
      </c>
      <c r="H3" s="5">
        <v>92.7</v>
      </c>
      <c r="I3" s="5">
        <v>177.4</v>
      </c>
      <c r="J3" s="5">
        <v>137.80000000000001</v>
      </c>
      <c r="K3" s="5"/>
      <c r="L3" s="5"/>
      <c r="M3" s="5">
        <v>-248.251</v>
      </c>
      <c r="N3" s="5"/>
      <c r="O3" s="5">
        <v>-18.143999999999998</v>
      </c>
      <c r="P3" s="5"/>
      <c r="Q3" s="5"/>
      <c r="R3" s="5"/>
      <c r="S3" s="5"/>
      <c r="T3" s="6" t="s">
        <v>43</v>
      </c>
    </row>
    <row r="4" spans="1:20" x14ac:dyDescent="0.35">
      <c r="A4" s="5" t="s">
        <v>46</v>
      </c>
      <c r="B4" s="5" t="s">
        <v>47</v>
      </c>
      <c r="C4" s="5">
        <v>4.5999999999999996</v>
      </c>
      <c r="D4" s="5" t="s">
        <v>42</v>
      </c>
      <c r="E4" s="5">
        <v>0.32139999999999991</v>
      </c>
      <c r="F4" s="5" t="s">
        <v>42</v>
      </c>
      <c r="G4" s="5">
        <v>69.900000000000006</v>
      </c>
      <c r="H4" s="5">
        <v>102.8</v>
      </c>
      <c r="I4" s="5">
        <v>257.2</v>
      </c>
      <c r="J4" s="5">
        <v>208.1</v>
      </c>
      <c r="K4" s="5"/>
      <c r="L4" s="5"/>
      <c r="M4" s="5">
        <v>-253.71199999999999</v>
      </c>
      <c r="N4" s="5"/>
      <c r="O4" s="5">
        <v>-33.628</v>
      </c>
      <c r="P4" s="5"/>
      <c r="Q4" s="5"/>
      <c r="R4" s="5"/>
      <c r="S4" s="5"/>
      <c r="T4" s="6" t="s">
        <v>43</v>
      </c>
    </row>
    <row r="5" spans="1:20" x14ac:dyDescent="0.35">
      <c r="A5" s="5" t="s">
        <v>48</v>
      </c>
      <c r="B5" s="5" t="s">
        <v>49</v>
      </c>
      <c r="C5" s="5">
        <v>5.6</v>
      </c>
      <c r="D5" s="5" t="s">
        <v>42</v>
      </c>
      <c r="E5" s="5">
        <v>0.4405</v>
      </c>
      <c r="F5" s="5" t="s">
        <v>42</v>
      </c>
      <c r="G5" s="5">
        <v>64.8</v>
      </c>
      <c r="H5" s="5">
        <v>112.9</v>
      </c>
      <c r="I5" s="5">
        <v>358.3</v>
      </c>
      <c r="J5" s="5">
        <v>283.5</v>
      </c>
      <c r="K5" s="5"/>
      <c r="L5" s="5"/>
      <c r="M5" s="5">
        <v>-306.14999999999998</v>
      </c>
      <c r="N5" s="5"/>
      <c r="O5" s="5">
        <v>-49.761000000000003</v>
      </c>
      <c r="P5" s="5"/>
      <c r="Q5" s="5"/>
      <c r="R5" s="5"/>
      <c r="S5" s="5"/>
      <c r="T5" s="6" t="s">
        <v>43</v>
      </c>
    </row>
    <row r="6" spans="1:20" x14ac:dyDescent="0.35">
      <c r="A6" s="5" t="s">
        <v>50</v>
      </c>
      <c r="B6" s="5" t="s">
        <v>51</v>
      </c>
      <c r="C6" s="5">
        <v>6.2</v>
      </c>
      <c r="D6" s="5" t="s">
        <v>42</v>
      </c>
      <c r="E6" s="5">
        <v>0.42980000000000002</v>
      </c>
      <c r="F6" s="5" t="s">
        <v>42</v>
      </c>
      <c r="G6" s="5">
        <v>74.3</v>
      </c>
      <c r="H6" s="5">
        <v>111.2</v>
      </c>
      <c r="I6" s="5">
        <v>314</v>
      </c>
      <c r="J6" s="5">
        <v>236.7</v>
      </c>
      <c r="K6" s="5"/>
      <c r="L6" s="5"/>
      <c r="M6" s="5">
        <v>-260.01900000000001</v>
      </c>
      <c r="N6" s="5"/>
      <c r="O6" s="5">
        <v>-101.583</v>
      </c>
      <c r="P6" s="5"/>
      <c r="Q6" s="5"/>
      <c r="R6" s="5"/>
      <c r="S6" s="5"/>
      <c r="T6" s="6" t="s">
        <v>43</v>
      </c>
    </row>
    <row r="7" spans="1:20" x14ac:dyDescent="0.35">
      <c r="A7" s="5" t="s">
        <v>52</v>
      </c>
      <c r="B7" s="5" t="s">
        <v>53</v>
      </c>
      <c r="C7" s="5">
        <v>8</v>
      </c>
      <c r="D7" s="5" t="s">
        <v>42</v>
      </c>
      <c r="E7" s="5">
        <v>0.6159</v>
      </c>
      <c r="F7" s="5" t="s">
        <v>42</v>
      </c>
      <c r="G7" s="5">
        <v>109.9</v>
      </c>
      <c r="H7" s="5">
        <v>150.1</v>
      </c>
      <c r="I7" s="5">
        <v>510.6</v>
      </c>
      <c r="J7" s="5">
        <v>378.7</v>
      </c>
      <c r="K7" s="5"/>
      <c r="L7" s="5"/>
      <c r="M7" s="5">
        <v>-305.47699999999998</v>
      </c>
      <c r="N7" s="5"/>
      <c r="O7" s="5">
        <v>-110.105</v>
      </c>
      <c r="P7" s="5"/>
      <c r="Q7" s="5"/>
      <c r="R7" s="5"/>
      <c r="S7" s="5"/>
      <c r="T7" s="6" t="s">
        <v>43</v>
      </c>
    </row>
    <row r="8" spans="1:20" x14ac:dyDescent="0.35">
      <c r="A8" s="5" t="s">
        <v>54</v>
      </c>
      <c r="B8" s="5" t="s">
        <v>55</v>
      </c>
      <c r="C8" s="5">
        <v>9.3000000000000007</v>
      </c>
      <c r="D8" s="5" t="s">
        <v>42</v>
      </c>
      <c r="E8" s="5">
        <v>0.74160000000000004</v>
      </c>
      <c r="F8" s="5" t="s">
        <v>42</v>
      </c>
      <c r="G8" s="5">
        <v>102.7</v>
      </c>
      <c r="H8" s="5">
        <v>130.69999999999999</v>
      </c>
      <c r="I8" s="5">
        <v>618.70000000000005</v>
      </c>
      <c r="J8" s="5">
        <v>467.1</v>
      </c>
      <c r="K8" s="5"/>
      <c r="L8" s="5"/>
      <c r="M8" s="5">
        <v>-301.58999999999997</v>
      </c>
      <c r="N8" s="5"/>
      <c r="O8" s="5">
        <v>-149.26300000000001</v>
      </c>
      <c r="P8" s="5"/>
      <c r="Q8" s="5"/>
      <c r="R8" s="5"/>
      <c r="S8" s="5"/>
      <c r="T8" s="6" t="s">
        <v>43</v>
      </c>
    </row>
    <row r="9" spans="1:20" x14ac:dyDescent="0.35">
      <c r="A9" s="5" t="s">
        <v>56</v>
      </c>
      <c r="B9" s="5" t="s">
        <v>57</v>
      </c>
      <c r="C9" s="5">
        <v>11.9</v>
      </c>
      <c r="D9" s="5" t="s">
        <v>42</v>
      </c>
      <c r="E9" s="5">
        <v>1</v>
      </c>
      <c r="F9" s="5" t="s">
        <v>42</v>
      </c>
      <c r="G9" s="5">
        <v>112.5</v>
      </c>
      <c r="H9" s="5">
        <v>134.6</v>
      </c>
      <c r="I9" s="5">
        <v>842.2</v>
      </c>
      <c r="J9" s="5">
        <v>627.6</v>
      </c>
      <c r="K9" s="5"/>
      <c r="L9" s="5"/>
      <c r="M9" s="5">
        <v>-427.47399999999999</v>
      </c>
      <c r="N9" s="5"/>
      <c r="O9" s="5">
        <v>-171.26300000000001</v>
      </c>
      <c r="P9" s="5"/>
      <c r="Q9" s="5"/>
      <c r="R9" s="5"/>
      <c r="S9" s="5"/>
      <c r="T9" s="6" t="s">
        <v>43</v>
      </c>
    </row>
    <row r="10" spans="1:20" x14ac:dyDescent="0.35">
      <c r="A10" s="5" t="s">
        <v>58</v>
      </c>
      <c r="B10" s="5" t="s">
        <v>59</v>
      </c>
      <c r="C10" s="5">
        <v>12.6</v>
      </c>
      <c r="D10" s="5" t="s">
        <v>42</v>
      </c>
      <c r="E10" s="5">
        <v>1.1000000000000001</v>
      </c>
      <c r="F10" s="5" t="s">
        <v>42</v>
      </c>
      <c r="G10" s="5">
        <v>103.2</v>
      </c>
      <c r="H10" s="5">
        <v>153</v>
      </c>
      <c r="I10" s="5">
        <v>922.3</v>
      </c>
      <c r="J10" s="5">
        <v>715.9</v>
      </c>
      <c r="K10" s="5"/>
      <c r="L10" s="5"/>
      <c r="M10" s="5">
        <v>-412.89699999999999</v>
      </c>
      <c r="N10" s="5"/>
      <c r="O10" s="5">
        <v>-153.08799999999999</v>
      </c>
      <c r="P10" s="5"/>
      <c r="Q10" s="5"/>
      <c r="R10" s="5"/>
      <c r="S10" s="5"/>
      <c r="T10" s="6" t="s">
        <v>43</v>
      </c>
    </row>
    <row r="11" spans="1:20" x14ac:dyDescent="0.35">
      <c r="A11" s="5" t="s">
        <v>60</v>
      </c>
      <c r="B11" s="5" t="s">
        <v>61</v>
      </c>
      <c r="C11" s="5">
        <v>15</v>
      </c>
      <c r="D11" s="5" t="s">
        <v>42</v>
      </c>
      <c r="E11" s="5">
        <v>1.4</v>
      </c>
      <c r="F11" s="5" t="s">
        <v>42</v>
      </c>
      <c r="G11" s="5">
        <v>87.5</v>
      </c>
      <c r="H11" s="5">
        <v>127.4</v>
      </c>
      <c r="I11" s="5">
        <v>1200</v>
      </c>
      <c r="J11" s="5">
        <v>904.6</v>
      </c>
      <c r="K11" s="5"/>
      <c r="L11" s="5"/>
      <c r="M11" s="5">
        <v>-579.774</v>
      </c>
      <c r="N11" s="5"/>
      <c r="O11" s="5">
        <v>-154.98599999999999</v>
      </c>
      <c r="P11" s="5"/>
      <c r="Q11" s="5"/>
      <c r="R11" s="5"/>
      <c r="S11" s="5"/>
      <c r="T11" s="6" t="s">
        <v>43</v>
      </c>
    </row>
    <row r="12" spans="1:20" x14ac:dyDescent="0.35">
      <c r="A12" s="5" t="s">
        <v>62</v>
      </c>
      <c r="B12" s="5" t="s">
        <v>63</v>
      </c>
      <c r="C12" s="5">
        <v>16.8</v>
      </c>
      <c r="D12" s="5" t="s">
        <v>42</v>
      </c>
      <c r="E12" s="5">
        <v>1.7</v>
      </c>
      <c r="F12" s="5" t="s">
        <v>42</v>
      </c>
      <c r="G12" s="5">
        <v>80.599999999999994</v>
      </c>
      <c r="H12" s="5">
        <v>123.2</v>
      </c>
      <c r="I12" s="5">
        <v>1500</v>
      </c>
      <c r="J12" s="5">
        <v>1200</v>
      </c>
      <c r="K12" s="5"/>
      <c r="L12" s="5"/>
      <c r="M12" s="5">
        <v>-683.81299999999999</v>
      </c>
      <c r="N12" s="5"/>
      <c r="O12" s="5">
        <v>-159.03700000000001</v>
      </c>
      <c r="P12" s="5"/>
      <c r="Q12" s="5"/>
      <c r="R12" s="5"/>
      <c r="S12" s="5"/>
      <c r="T12" s="6" t="s">
        <v>43</v>
      </c>
    </row>
    <row r="13" spans="1:20" x14ac:dyDescent="0.35">
      <c r="A13" s="5" t="s">
        <v>64</v>
      </c>
      <c r="B13" s="5" t="s">
        <v>65</v>
      </c>
      <c r="C13" s="5">
        <v>18.2</v>
      </c>
      <c r="D13" s="5" t="s">
        <v>42</v>
      </c>
      <c r="E13" s="5">
        <v>2</v>
      </c>
      <c r="F13" s="5" t="s">
        <v>42</v>
      </c>
      <c r="G13" s="5">
        <v>52.7</v>
      </c>
      <c r="H13" s="5">
        <v>90.1</v>
      </c>
      <c r="I13" s="5">
        <v>1600</v>
      </c>
      <c r="J13" s="5">
        <v>1300</v>
      </c>
      <c r="K13" s="5"/>
      <c r="L13" s="5"/>
      <c r="M13" s="5">
        <v>-877.73699999999997</v>
      </c>
      <c r="N13" s="5">
        <v>197.5</v>
      </c>
      <c r="O13" s="5">
        <v>-149.81299999999999</v>
      </c>
      <c r="P13" s="5"/>
      <c r="Q13" s="5"/>
      <c r="R13" s="5"/>
      <c r="S13" s="5"/>
      <c r="T13" s="6" t="s">
        <v>43</v>
      </c>
    </row>
    <row r="14" spans="1:20" x14ac:dyDescent="0.35">
      <c r="A14" s="5" t="s">
        <v>66</v>
      </c>
      <c r="B14" s="5" t="s">
        <v>67</v>
      </c>
      <c r="C14" s="5">
        <v>17.399999999999999</v>
      </c>
      <c r="D14" s="5" t="s">
        <v>42</v>
      </c>
      <c r="E14" s="5">
        <v>1.9</v>
      </c>
      <c r="F14" s="5" t="s">
        <v>42</v>
      </c>
      <c r="G14" s="5">
        <v>38.700000000000003</v>
      </c>
      <c r="H14" s="5">
        <v>71.3</v>
      </c>
      <c r="I14" s="5">
        <v>1500</v>
      </c>
      <c r="J14" s="5">
        <v>1300</v>
      </c>
      <c r="K14" s="5"/>
      <c r="L14" s="5"/>
      <c r="M14" s="5">
        <v>-742.82</v>
      </c>
      <c r="N14" s="5">
        <v>236</v>
      </c>
      <c r="O14" s="5">
        <v>-124.898</v>
      </c>
      <c r="P14" s="5"/>
      <c r="Q14" s="5"/>
      <c r="R14" s="5"/>
      <c r="S14" s="5"/>
      <c r="T14" s="6" t="s">
        <v>43</v>
      </c>
    </row>
    <row r="15" spans="1:20" x14ac:dyDescent="0.35">
      <c r="A15" s="5" t="s">
        <v>68</v>
      </c>
      <c r="B15" s="5" t="s">
        <v>69</v>
      </c>
      <c r="C15" s="5">
        <v>19</v>
      </c>
      <c r="D15" s="5" t="s">
        <v>42</v>
      </c>
      <c r="E15" s="5">
        <v>2</v>
      </c>
      <c r="F15" s="5" t="s">
        <v>42</v>
      </c>
      <c r="G15" s="5">
        <v>27.2</v>
      </c>
      <c r="H15" s="5">
        <v>41.6</v>
      </c>
      <c r="I15" s="5">
        <v>1700</v>
      </c>
      <c r="J15" s="5">
        <v>1500</v>
      </c>
      <c r="K15" s="5"/>
      <c r="L15" s="5"/>
      <c r="M15" s="5">
        <v>-648.14499999999998</v>
      </c>
      <c r="N15" s="5">
        <v>279</v>
      </c>
      <c r="O15" s="5">
        <v>-111.517</v>
      </c>
      <c r="P15" s="5"/>
      <c r="Q15" s="5"/>
      <c r="R15" s="5"/>
      <c r="S15" s="5"/>
      <c r="T15" s="6" t="s">
        <v>43</v>
      </c>
    </row>
    <row r="16" spans="1:20" x14ac:dyDescent="0.35">
      <c r="A16" s="5" t="s">
        <v>70</v>
      </c>
      <c r="B16" s="5" t="s">
        <v>71</v>
      </c>
      <c r="C16" s="5">
        <v>19.100000000000001</v>
      </c>
      <c r="D16" s="5" t="s">
        <v>42</v>
      </c>
      <c r="E16" s="5">
        <v>2</v>
      </c>
      <c r="F16" s="5" t="s">
        <v>42</v>
      </c>
      <c r="G16" s="5">
        <v>13.5</v>
      </c>
      <c r="H16" s="5">
        <v>19.2</v>
      </c>
      <c r="I16" s="5">
        <v>1900</v>
      </c>
      <c r="J16" s="5">
        <v>1600</v>
      </c>
      <c r="K16" s="5">
        <v>1000</v>
      </c>
      <c r="L16" s="5">
        <v>600</v>
      </c>
      <c r="M16" s="5">
        <v>-495.73500000000001</v>
      </c>
      <c r="N16" s="5">
        <v>326.89999999999998</v>
      </c>
      <c r="O16" s="5">
        <v>-67.745999999999995</v>
      </c>
      <c r="P16" s="5">
        <v>2.2000000000000002</v>
      </c>
      <c r="Q16" s="5" t="s">
        <v>72</v>
      </c>
      <c r="R16" s="5"/>
      <c r="S16" s="5" t="s">
        <v>73</v>
      </c>
      <c r="T16" s="6" t="s">
        <v>43</v>
      </c>
    </row>
    <row r="17" spans="1:20" x14ac:dyDescent="0.35">
      <c r="A17" s="5" t="s">
        <v>74</v>
      </c>
      <c r="B17" s="5" t="s">
        <v>75</v>
      </c>
      <c r="C17" s="5">
        <v>18</v>
      </c>
      <c r="D17" s="5" t="s">
        <v>42</v>
      </c>
      <c r="E17" s="5">
        <v>1.7</v>
      </c>
      <c r="F17" s="5" t="s">
        <v>42</v>
      </c>
      <c r="G17" s="5"/>
      <c r="H17" s="5"/>
      <c r="I17" s="5">
        <v>2100</v>
      </c>
      <c r="J17" s="5">
        <v>1800</v>
      </c>
      <c r="K17" s="5">
        <v>1100</v>
      </c>
      <c r="L17" s="5">
        <v>700</v>
      </c>
      <c r="M17" s="5">
        <v>196.14599999999999</v>
      </c>
      <c r="N17" s="5">
        <v>380.2</v>
      </c>
      <c r="O17" s="5">
        <v>75.600999999999999</v>
      </c>
      <c r="P17" s="5">
        <v>2.1</v>
      </c>
      <c r="Q17" s="5" t="s">
        <v>72</v>
      </c>
      <c r="R17" s="5"/>
      <c r="S17" s="5" t="s">
        <v>76</v>
      </c>
      <c r="T17" s="6" t="s">
        <v>43</v>
      </c>
    </row>
    <row r="18" spans="1:20" x14ac:dyDescent="0.35">
      <c r="A18" s="5" t="s">
        <v>77</v>
      </c>
      <c r="B18" s="5" t="s">
        <v>78</v>
      </c>
      <c r="C18" s="7">
        <v>17.315000000000001</v>
      </c>
      <c r="D18" s="5" t="s">
        <v>79</v>
      </c>
      <c r="E18" s="7">
        <v>1.6579999999999999</v>
      </c>
      <c r="F18" s="5" t="s">
        <v>79</v>
      </c>
      <c r="G18" s="5"/>
      <c r="H18" s="5"/>
      <c r="I18" s="5">
        <v>2100</v>
      </c>
      <c r="J18" s="5">
        <v>1800</v>
      </c>
      <c r="K18" s="5">
        <v>1200</v>
      </c>
      <c r="L18" s="5">
        <v>700</v>
      </c>
      <c r="M18" s="5">
        <v>207.714</v>
      </c>
      <c r="N18" s="5">
        <v>412.8</v>
      </c>
      <c r="O18" s="5">
        <v>98.938000000000002</v>
      </c>
      <c r="P18" s="5">
        <v>2</v>
      </c>
      <c r="Q18" s="5" t="s">
        <v>72</v>
      </c>
      <c r="R18" s="5"/>
      <c r="S18" s="5" t="s">
        <v>80</v>
      </c>
      <c r="T18" s="6" t="s">
        <v>43</v>
      </c>
    </row>
    <row r="19" spans="1:20" x14ac:dyDescent="0.35">
      <c r="A19" s="5" t="s">
        <v>81</v>
      </c>
      <c r="B19" s="5" t="s">
        <v>82</v>
      </c>
      <c r="C19" s="7">
        <v>18.047999999999998</v>
      </c>
      <c r="D19" s="5" t="s">
        <v>83</v>
      </c>
      <c r="E19" s="7">
        <v>1.782</v>
      </c>
      <c r="F19" s="5" t="s">
        <v>83</v>
      </c>
      <c r="G19" s="5"/>
      <c r="H19" s="5"/>
      <c r="I19" s="5">
        <v>2100</v>
      </c>
      <c r="J19" s="5">
        <v>1900</v>
      </c>
      <c r="K19" s="5">
        <v>1200</v>
      </c>
      <c r="L19" s="5">
        <v>625.20000000000005</v>
      </c>
      <c r="M19" s="5">
        <v>150.339</v>
      </c>
      <c r="N19" s="5">
        <v>427.9</v>
      </c>
      <c r="O19" s="5">
        <v>136.96100000000001</v>
      </c>
      <c r="P19" s="5">
        <v>2</v>
      </c>
      <c r="Q19" s="5" t="s">
        <v>72</v>
      </c>
      <c r="R19" s="5"/>
      <c r="S19" s="5" t="s">
        <v>80</v>
      </c>
      <c r="T19" s="6" t="s">
        <v>43</v>
      </c>
    </row>
    <row r="20" spans="1:20" x14ac:dyDescent="0.35">
      <c r="A20" s="5" t="s">
        <v>84</v>
      </c>
      <c r="B20" s="5" t="s">
        <v>85</v>
      </c>
      <c r="C20" s="5">
        <v>20.100000000000001</v>
      </c>
      <c r="D20" s="5" t="s">
        <v>42</v>
      </c>
      <c r="E20" s="5">
        <v>2.2000000000000002</v>
      </c>
      <c r="F20" s="5" t="s">
        <v>42</v>
      </c>
      <c r="G20" s="5">
        <v>5.0999999999999996</v>
      </c>
      <c r="H20" s="5">
        <v>13.2</v>
      </c>
      <c r="I20" s="5">
        <v>2200</v>
      </c>
      <c r="J20" s="5">
        <v>1900</v>
      </c>
      <c r="K20" s="5">
        <v>1300</v>
      </c>
      <c r="L20" s="5">
        <v>592.79999999999995</v>
      </c>
      <c r="M20" s="5">
        <v>-346.495</v>
      </c>
      <c r="N20" s="5">
        <v>446.2</v>
      </c>
      <c r="O20" s="5">
        <v>165.73099999999999</v>
      </c>
      <c r="P20" s="5">
        <v>2.4</v>
      </c>
      <c r="Q20" s="5" t="s">
        <v>86</v>
      </c>
      <c r="R20" s="5">
        <v>1.6</v>
      </c>
      <c r="S20" s="5"/>
      <c r="T20" s="6" t="s">
        <v>43</v>
      </c>
    </row>
    <row r="21" spans="1:20" x14ac:dyDescent="0.35">
      <c r="A21" s="5" t="s">
        <v>87</v>
      </c>
      <c r="B21" s="5" t="s">
        <v>88</v>
      </c>
      <c r="C21" s="5">
        <v>23.1</v>
      </c>
      <c r="D21" s="5" t="s">
        <v>42</v>
      </c>
      <c r="E21" s="5">
        <v>2.5</v>
      </c>
      <c r="F21" s="5" t="s">
        <v>42</v>
      </c>
      <c r="G21" s="5">
        <v>28.6</v>
      </c>
      <c r="H21" s="5">
        <v>46</v>
      </c>
      <c r="I21" s="5">
        <v>2600</v>
      </c>
      <c r="J21" s="5">
        <v>2300</v>
      </c>
      <c r="K21" s="5">
        <v>1600</v>
      </c>
      <c r="L21" s="5">
        <v>657.9</v>
      </c>
      <c r="M21" s="5">
        <v>-225.33199999999999</v>
      </c>
      <c r="N21" s="5">
        <v>472.4</v>
      </c>
      <c r="O21" s="5">
        <v>148.482</v>
      </c>
      <c r="P21" s="5">
        <v>3.1</v>
      </c>
      <c r="Q21" s="5" t="s">
        <v>89</v>
      </c>
      <c r="R21" s="5">
        <v>1.6</v>
      </c>
      <c r="S21" s="5"/>
      <c r="T21" s="6" t="s">
        <v>43</v>
      </c>
    </row>
    <row r="22" spans="1:20" x14ac:dyDescent="0.35">
      <c r="A22" s="5" t="s">
        <v>90</v>
      </c>
      <c r="B22" s="5" t="s">
        <v>91</v>
      </c>
      <c r="C22" s="5">
        <v>23.6</v>
      </c>
      <c r="D22" s="5" t="s">
        <v>42</v>
      </c>
      <c r="E22" s="5">
        <v>2.6</v>
      </c>
      <c r="F22" s="5" t="s">
        <v>42</v>
      </c>
      <c r="G22" s="5">
        <v>36.299999999999997</v>
      </c>
      <c r="H22" s="5">
        <v>56.8</v>
      </c>
      <c r="I22" s="5">
        <v>2700</v>
      </c>
      <c r="J22" s="5">
        <v>2422.7399999999998</v>
      </c>
      <c r="K22" s="5">
        <v>1700.24</v>
      </c>
      <c r="L22" s="5">
        <v>722.5</v>
      </c>
      <c r="M22" s="5">
        <v>-21.7</v>
      </c>
      <c r="N22" s="5">
        <v>499.36399999999998</v>
      </c>
      <c r="O22" s="5">
        <v>148.65799999999999</v>
      </c>
      <c r="P22" s="5">
        <v>3.3</v>
      </c>
      <c r="Q22" s="5" t="s">
        <v>89</v>
      </c>
      <c r="R22" s="5">
        <v>1.4</v>
      </c>
      <c r="S22" s="5"/>
      <c r="T22" s="6" t="s">
        <v>43</v>
      </c>
    </row>
    <row r="23" spans="1:20" x14ac:dyDescent="0.35">
      <c r="A23" s="5" t="s">
        <v>92</v>
      </c>
      <c r="B23" s="5" t="s">
        <v>93</v>
      </c>
      <c r="C23" s="5">
        <v>23.3</v>
      </c>
      <c r="D23" s="5" t="s">
        <v>42</v>
      </c>
      <c r="E23" s="5">
        <v>2.5</v>
      </c>
      <c r="F23" s="5" t="s">
        <v>42</v>
      </c>
      <c r="G23" s="5">
        <v>29.1</v>
      </c>
      <c r="H23" s="5">
        <v>40.299999999999997</v>
      </c>
      <c r="I23" s="5">
        <v>2800</v>
      </c>
      <c r="J23" s="5">
        <v>2479.83</v>
      </c>
      <c r="K23" s="5">
        <v>1757.53</v>
      </c>
      <c r="L23" s="5">
        <v>722.3</v>
      </c>
      <c r="M23" s="5">
        <v>-9.18</v>
      </c>
      <c r="N23" s="5">
        <v>519.33799999999997</v>
      </c>
      <c r="O23" s="5">
        <v>164.678</v>
      </c>
      <c r="P23" s="5">
        <v>3.5</v>
      </c>
      <c r="Q23" s="5" t="s">
        <v>89</v>
      </c>
      <c r="R23" s="5">
        <v>1.3</v>
      </c>
      <c r="S23" s="5"/>
      <c r="T23" s="6" t="s">
        <v>43</v>
      </c>
    </row>
    <row r="24" spans="1:20" x14ac:dyDescent="0.35">
      <c r="A24" s="5" t="s">
        <v>94</v>
      </c>
      <c r="B24" s="5" t="s">
        <v>95</v>
      </c>
      <c r="C24" s="5">
        <v>25.1</v>
      </c>
      <c r="D24" s="5" t="s">
        <v>42</v>
      </c>
      <c r="E24" s="5">
        <v>2.8</v>
      </c>
      <c r="F24" s="5" t="s">
        <v>42</v>
      </c>
      <c r="G24" s="5">
        <v>25.2</v>
      </c>
      <c r="H24" s="5">
        <v>24.2</v>
      </c>
      <c r="I24" s="5">
        <v>3200</v>
      </c>
      <c r="J24" s="5">
        <v>2767.163</v>
      </c>
      <c r="K24" s="5">
        <v>1999.963</v>
      </c>
      <c r="L24" s="5">
        <v>767.2</v>
      </c>
      <c r="M24" s="5">
        <v>34.445999999999998</v>
      </c>
      <c r="N24" s="5">
        <v>615.71100000000001</v>
      </c>
      <c r="O24" s="5">
        <v>187.92699999999999</v>
      </c>
      <c r="P24" s="5">
        <v>4.5999999999999996</v>
      </c>
      <c r="Q24" s="5" t="s">
        <v>89</v>
      </c>
      <c r="R24" s="5">
        <v>1.2</v>
      </c>
      <c r="S24" s="5"/>
      <c r="T24" s="6" t="s">
        <v>43</v>
      </c>
    </row>
    <row r="25" spans="1:20" x14ac:dyDescent="0.35">
      <c r="A25" s="5" t="s">
        <v>96</v>
      </c>
      <c r="B25" s="5" t="s">
        <v>97</v>
      </c>
      <c r="C25" s="5">
        <v>28.6</v>
      </c>
      <c r="D25" s="5" t="s">
        <v>42</v>
      </c>
      <c r="E25" s="5">
        <v>3</v>
      </c>
      <c r="F25" s="5" t="s">
        <v>42</v>
      </c>
      <c r="G25" s="5">
        <v>23.5</v>
      </c>
      <c r="H25" s="5">
        <v>20.100000000000001</v>
      </c>
      <c r="I25" s="5">
        <v>3700</v>
      </c>
      <c r="J25" s="5">
        <v>3192.53</v>
      </c>
      <c r="K25" s="5">
        <v>2397.73</v>
      </c>
      <c r="L25" s="5">
        <v>794.8</v>
      </c>
      <c r="M25" s="5">
        <v>152.209</v>
      </c>
      <c r="N25" s="5">
        <v>733.32600000000002</v>
      </c>
      <c r="O25" s="5">
        <v>210.97900000000001</v>
      </c>
      <c r="P25" s="5">
        <v>5.0999999999999996</v>
      </c>
      <c r="Q25" s="5" t="s">
        <v>89</v>
      </c>
      <c r="R25" s="5">
        <v>1.2</v>
      </c>
      <c r="S25" s="5"/>
      <c r="T25" s="6" t="s">
        <v>43</v>
      </c>
    </row>
    <row r="26" spans="1:20" x14ac:dyDescent="0.35">
      <c r="A26" s="5" t="s">
        <v>98</v>
      </c>
      <c r="B26" s="5" t="s">
        <v>99</v>
      </c>
      <c r="C26" s="5">
        <v>28.6</v>
      </c>
      <c r="D26" s="5" t="s">
        <v>42</v>
      </c>
      <c r="E26" s="5">
        <v>3.1</v>
      </c>
      <c r="F26" s="5" t="s">
        <v>42</v>
      </c>
      <c r="G26" s="5">
        <v>21.5</v>
      </c>
      <c r="H26" s="5">
        <v>20.5</v>
      </c>
      <c r="I26" s="5">
        <v>3500</v>
      </c>
      <c r="J26" s="5">
        <v>3118.931</v>
      </c>
      <c r="K26" s="5">
        <v>2366.7310000000002</v>
      </c>
      <c r="L26" s="5">
        <v>752.2</v>
      </c>
      <c r="M26" s="5">
        <v>264.41699999999997</v>
      </c>
      <c r="N26" s="5">
        <v>787.11699999999996</v>
      </c>
      <c r="O26" s="5">
        <v>241.43899999999999</v>
      </c>
      <c r="P26" s="5">
        <v>5.8</v>
      </c>
      <c r="Q26" s="5" t="s">
        <v>89</v>
      </c>
      <c r="R26" s="5">
        <v>1.1000000000000001</v>
      </c>
      <c r="S26" s="5"/>
      <c r="T26" s="6" t="s">
        <v>43</v>
      </c>
    </row>
    <row r="27" spans="1:20" x14ac:dyDescent="0.35">
      <c r="A27" s="5" t="s">
        <v>100</v>
      </c>
      <c r="B27" s="5" t="s">
        <v>101</v>
      </c>
      <c r="C27" s="5">
        <v>29.8</v>
      </c>
      <c r="D27" s="5" t="s">
        <v>42</v>
      </c>
      <c r="E27" s="5">
        <v>3.3</v>
      </c>
      <c r="F27" s="5" t="s">
        <v>42</v>
      </c>
      <c r="G27" s="5">
        <v>28.2</v>
      </c>
      <c r="H27" s="5">
        <v>28.6</v>
      </c>
      <c r="I27" s="5">
        <v>3800</v>
      </c>
      <c r="J27" s="5">
        <v>3312.1550000000002</v>
      </c>
      <c r="K27" s="5">
        <v>2569.1550000000002</v>
      </c>
      <c r="L27" s="5">
        <v>743</v>
      </c>
      <c r="M27" s="5">
        <v>227.69399999999999</v>
      </c>
      <c r="N27" s="5">
        <v>882.80799999999999</v>
      </c>
      <c r="O27" s="5">
        <v>255.26300000000001</v>
      </c>
      <c r="P27" s="5">
        <v>6.9</v>
      </c>
      <c r="Q27" s="5" t="s">
        <v>89</v>
      </c>
      <c r="R27" s="5">
        <v>1</v>
      </c>
      <c r="S27" s="5"/>
      <c r="T27" s="6" t="s">
        <v>43</v>
      </c>
    </row>
    <row r="28" spans="1:20" x14ac:dyDescent="0.35">
      <c r="A28" s="5" t="s">
        <v>102</v>
      </c>
      <c r="B28" s="5" t="s">
        <v>103</v>
      </c>
      <c r="C28" s="5">
        <v>32.200000000000003</v>
      </c>
      <c r="D28" s="5" t="s">
        <v>42</v>
      </c>
      <c r="E28" s="5">
        <v>3.6</v>
      </c>
      <c r="F28" s="5" t="s">
        <v>42</v>
      </c>
      <c r="G28" s="5">
        <v>28.4</v>
      </c>
      <c r="H28" s="5">
        <v>28.4</v>
      </c>
      <c r="I28" s="5">
        <v>4300</v>
      </c>
      <c r="J28" s="5">
        <v>3778.68</v>
      </c>
      <c r="K28" s="5">
        <v>3055.08</v>
      </c>
      <c r="L28" s="5">
        <v>723.6</v>
      </c>
      <c r="M28" s="5">
        <v>186.05500000000001</v>
      </c>
      <c r="N28" s="5">
        <v>989.86099999999999</v>
      </c>
      <c r="O28" s="5">
        <v>258.31200000000001</v>
      </c>
      <c r="P28" s="5">
        <v>7.9</v>
      </c>
      <c r="Q28" s="5" t="s">
        <v>89</v>
      </c>
      <c r="R28" s="5">
        <v>1.1000000000000001</v>
      </c>
      <c r="S28" s="5"/>
      <c r="T28" s="6" t="s">
        <v>43</v>
      </c>
    </row>
    <row r="29" spans="1:20" x14ac:dyDescent="0.35">
      <c r="A29" s="5" t="s">
        <v>104</v>
      </c>
      <c r="B29" s="5" t="s">
        <v>105</v>
      </c>
      <c r="C29" s="5">
        <v>36.700000000000003</v>
      </c>
      <c r="D29" s="5" t="s">
        <v>42</v>
      </c>
      <c r="E29" s="5">
        <v>4</v>
      </c>
      <c r="F29" s="5" t="s">
        <v>42</v>
      </c>
      <c r="G29" s="5">
        <v>28.6</v>
      </c>
      <c r="H29" s="5">
        <v>30.5</v>
      </c>
      <c r="I29" s="5">
        <v>5000</v>
      </c>
      <c r="J29" s="5">
        <v>4336.1279999999997</v>
      </c>
      <c r="K29" s="5">
        <v>3601.1280000000002</v>
      </c>
      <c r="L29" s="5">
        <v>735</v>
      </c>
      <c r="M29" s="5">
        <v>202.45699999999999</v>
      </c>
      <c r="N29" s="5">
        <v>1131.855</v>
      </c>
      <c r="O29" s="5">
        <v>263.07</v>
      </c>
      <c r="P29" s="5">
        <v>9.1999999999999993</v>
      </c>
      <c r="Q29" s="5" t="s">
        <v>89</v>
      </c>
      <c r="R29" s="5">
        <v>1.1000000000000001</v>
      </c>
      <c r="S29" s="5"/>
      <c r="T29" s="6" t="s">
        <v>43</v>
      </c>
    </row>
    <row r="30" spans="1:20" x14ac:dyDescent="0.35">
      <c r="A30" s="5" t="s">
        <v>106</v>
      </c>
      <c r="B30" s="5" t="s">
        <v>107</v>
      </c>
      <c r="C30" s="5">
        <v>37.299999999999997</v>
      </c>
      <c r="D30" s="5" t="s">
        <v>42</v>
      </c>
      <c r="E30" s="5">
        <v>4</v>
      </c>
      <c r="F30" s="5" t="s">
        <v>42</v>
      </c>
      <c r="G30" s="5">
        <v>30.2</v>
      </c>
      <c r="H30" s="5">
        <v>29.3</v>
      </c>
      <c r="I30" s="5">
        <v>5100</v>
      </c>
      <c r="J30" s="5">
        <v>4503.1099999999997</v>
      </c>
      <c r="K30" s="5">
        <v>3811.51</v>
      </c>
      <c r="L30" s="5">
        <v>691.6</v>
      </c>
      <c r="M30" s="5">
        <v>223.17400000000001</v>
      </c>
      <c r="N30" s="5">
        <v>1241.7819999999999</v>
      </c>
      <c r="O30" s="5">
        <v>275.24299999999999</v>
      </c>
      <c r="P30" s="5">
        <v>9.9</v>
      </c>
      <c r="Q30" s="5" t="s">
        <v>89</v>
      </c>
      <c r="R30" s="5">
        <v>1.1000000000000001</v>
      </c>
      <c r="S30" s="5"/>
      <c r="T30" s="6" t="s">
        <v>43</v>
      </c>
    </row>
    <row r="31" spans="1:20" x14ac:dyDescent="0.35">
      <c r="A31" s="5" t="s">
        <v>108</v>
      </c>
      <c r="B31" s="5" t="s">
        <v>109</v>
      </c>
      <c r="C31" s="5">
        <v>38.299999999999997</v>
      </c>
      <c r="D31" s="5" t="s">
        <v>42</v>
      </c>
      <c r="E31" s="5">
        <v>4.2</v>
      </c>
      <c r="F31" s="5" t="s">
        <v>42</v>
      </c>
      <c r="G31" s="5">
        <v>28.4</v>
      </c>
      <c r="H31" s="5">
        <v>27.5</v>
      </c>
      <c r="I31" s="5">
        <v>5600</v>
      </c>
      <c r="J31" s="5">
        <v>4931.8609999999999</v>
      </c>
      <c r="K31" s="5">
        <v>4255.4610000000002</v>
      </c>
      <c r="L31" s="5">
        <v>676.4</v>
      </c>
      <c r="M31" s="5">
        <v>255.41900000000001</v>
      </c>
      <c r="N31" s="5">
        <v>1402.83</v>
      </c>
      <c r="O31" s="5">
        <v>287.98500000000001</v>
      </c>
      <c r="P31" s="5">
        <v>11.1</v>
      </c>
      <c r="Q31" s="5" t="s">
        <v>89</v>
      </c>
      <c r="R31" s="5">
        <v>1</v>
      </c>
      <c r="S31" s="5"/>
      <c r="T31" s="6" t="s">
        <v>43</v>
      </c>
    </row>
  </sheetData>
  <hyperlinks>
    <hyperlink ref="T2" r:id="rId1" xr:uid="{00000000-0004-0000-0100-000000000000}"/>
    <hyperlink ref="T3" r:id="rId2" xr:uid="{00000000-0004-0000-0100-000001000000}"/>
    <hyperlink ref="T4" r:id="rId3" xr:uid="{00000000-0004-0000-0100-000002000000}"/>
    <hyperlink ref="T5" r:id="rId4" xr:uid="{00000000-0004-0000-0100-000003000000}"/>
    <hyperlink ref="T6" r:id="rId5" xr:uid="{00000000-0004-0000-0100-000004000000}"/>
    <hyperlink ref="T7" r:id="rId6" xr:uid="{00000000-0004-0000-0100-000005000000}"/>
    <hyperlink ref="T8" r:id="rId7" xr:uid="{00000000-0004-0000-0100-000006000000}"/>
    <hyperlink ref="T9" r:id="rId8" xr:uid="{00000000-0004-0000-0100-000007000000}"/>
    <hyperlink ref="T10" r:id="rId9" xr:uid="{00000000-0004-0000-0100-000008000000}"/>
    <hyperlink ref="T11" r:id="rId10" xr:uid="{00000000-0004-0000-0100-000009000000}"/>
    <hyperlink ref="T12" r:id="rId11" xr:uid="{00000000-0004-0000-0100-00000A000000}"/>
    <hyperlink ref="T13" r:id="rId12" xr:uid="{00000000-0004-0000-0100-00000B000000}"/>
    <hyperlink ref="T14" r:id="rId13" xr:uid="{00000000-0004-0000-0100-00000C000000}"/>
    <hyperlink ref="T15" r:id="rId14" xr:uid="{00000000-0004-0000-0100-00000D000000}"/>
    <hyperlink ref="T16" r:id="rId15" xr:uid="{00000000-0004-0000-0100-00000E000000}"/>
    <hyperlink ref="T17" r:id="rId16" xr:uid="{00000000-0004-0000-0100-00000F000000}"/>
    <hyperlink ref="T18" r:id="rId17" xr:uid="{00000000-0004-0000-0100-000010000000}"/>
    <hyperlink ref="T19" r:id="rId18" xr:uid="{00000000-0004-0000-0100-000011000000}"/>
    <hyperlink ref="T20" r:id="rId19" xr:uid="{00000000-0004-0000-0100-000012000000}"/>
    <hyperlink ref="T21" r:id="rId20" xr:uid="{00000000-0004-0000-0100-000013000000}"/>
    <hyperlink ref="T22" r:id="rId21" xr:uid="{00000000-0004-0000-0100-000014000000}"/>
    <hyperlink ref="T23" r:id="rId22" xr:uid="{00000000-0004-0000-0100-000015000000}"/>
    <hyperlink ref="T24" r:id="rId23" xr:uid="{00000000-0004-0000-0100-000016000000}"/>
    <hyperlink ref="T25" r:id="rId24" xr:uid="{00000000-0004-0000-0100-000017000000}"/>
    <hyperlink ref="T26" r:id="rId25" xr:uid="{00000000-0004-0000-0100-000018000000}"/>
    <hyperlink ref="T27" r:id="rId26" xr:uid="{00000000-0004-0000-0100-000019000000}"/>
    <hyperlink ref="T28" r:id="rId27" xr:uid="{00000000-0004-0000-0100-00001A000000}"/>
    <hyperlink ref="T29" r:id="rId28" xr:uid="{00000000-0004-0000-0100-00001B000000}"/>
    <hyperlink ref="T30" r:id="rId29" xr:uid="{00000000-0004-0000-0100-00001C000000}"/>
    <hyperlink ref="T31" r:id="rId30" xr:uid="{00000000-0004-0000-0100-00001D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1"/>
  <sheetViews>
    <sheetView workbookViewId="0">
      <pane xSplit="1" ySplit="1" topLeftCell="B2" activePane="bottomRight" state="frozen"/>
      <selection pane="topRight"/>
      <selection pane="bottomLeft"/>
      <selection pane="bottomRight"/>
    </sheetView>
  </sheetViews>
  <sheetFormatPr defaultRowHeight="14.5" x14ac:dyDescent="0.35"/>
  <cols>
    <col min="1" max="13" width="14" customWidth="1"/>
  </cols>
  <sheetData>
    <row r="1" spans="1:13" ht="42" customHeight="1" x14ac:dyDescent="0.35">
      <c r="A1" s="4" t="s">
        <v>20</v>
      </c>
      <c r="B1" s="4" t="s">
        <v>110</v>
      </c>
      <c r="C1" s="4" t="s">
        <v>111</v>
      </c>
      <c r="D1" s="4" t="s">
        <v>112</v>
      </c>
      <c r="E1" s="4" t="s">
        <v>113</v>
      </c>
      <c r="F1" s="4" t="s">
        <v>114</v>
      </c>
      <c r="G1" s="4" t="s">
        <v>115</v>
      </c>
      <c r="H1" s="4" t="s">
        <v>116</v>
      </c>
      <c r="I1" s="4" t="s">
        <v>117</v>
      </c>
      <c r="J1" s="4" t="s">
        <v>118</v>
      </c>
      <c r="K1" s="4" t="s">
        <v>119</v>
      </c>
      <c r="L1" s="4" t="s">
        <v>120</v>
      </c>
      <c r="M1" s="4" t="s">
        <v>121</v>
      </c>
    </row>
    <row r="2" spans="1:13" x14ac:dyDescent="0.35">
      <c r="A2" t="str">
        <f>Data!A2</f>
        <v>2019Q1</v>
      </c>
      <c r="B2" s="8">
        <f>IF(OR(Data!C2="",Data!E2=""),"",Data!C2/Data!E2)</f>
        <v>17.199017199017199</v>
      </c>
      <c r="C2" s="9">
        <f>IF(OR(Data!J2="",Data!C2=""),"",Data!J2/(Data!C2*1000))</f>
        <v>2.9142857142857144E-2</v>
      </c>
      <c r="D2" s="9" t="str">
        <f>IF(OR(Data!K2=""),"",Data!K2/(Data!C2*1000))</f>
        <v/>
      </c>
      <c r="E2" s="9" t="str">
        <f>IF(OR(Data!L2=""),"",Data!L2/(Data!C2*1000))</f>
        <v/>
      </c>
      <c r="F2" s="10">
        <f>IF(OR(Data!E2=""),"",Data!M2/(Data!E2*1000))</f>
        <v>-1.1560343980343979</v>
      </c>
      <c r="G2" s="11">
        <f>IF(OR(Data!C2=""),"",Data!M2/(Data!C2*1000))</f>
        <v>-6.7215142857142848E-2</v>
      </c>
      <c r="H2" s="9">
        <f>IF(OR(Data!J2=""),"",Data!M2/Data!J2)</f>
        <v>-2.3064019607843136</v>
      </c>
      <c r="I2" s="9"/>
      <c r="J2" s="9"/>
      <c r="K2" s="9"/>
      <c r="L2" s="12"/>
      <c r="M2" s="13"/>
    </row>
    <row r="3" spans="1:13" x14ac:dyDescent="0.35">
      <c r="A3" t="str">
        <f>Data!A3</f>
        <v>2019Q2</v>
      </c>
      <c r="B3" s="8">
        <f>IF(OR(Data!C3="",Data!E3=""),"",Data!C3/Data!E3)</f>
        <v>15.428339423467316</v>
      </c>
      <c r="C3" s="9">
        <f>IF(OR(Data!J3="",Data!C3=""),"",Data!J3/(Data!C3*1000))</f>
        <v>3.6263157894736844E-2</v>
      </c>
      <c r="D3" s="9" t="str">
        <f>IF(OR(Data!K3=""),"",Data!K3/(Data!C3*1000))</f>
        <v/>
      </c>
      <c r="E3" s="9" t="str">
        <f>IF(OR(Data!L3=""),"",Data!L3/(Data!C3*1000))</f>
        <v/>
      </c>
      <c r="F3" s="10">
        <f>IF(OR(Data!E3=""),"",Data!M3/(Data!E3*1000))</f>
        <v>-1.007921234267154</v>
      </c>
      <c r="G3" s="11">
        <f>IF(OR(Data!C3=""),"",Data!M3/(Data!C3*1000))</f>
        <v>-6.5329210526315795E-2</v>
      </c>
      <c r="H3" s="9">
        <f>IF(OR(Data!J3=""),"",Data!M3/Data!J3)</f>
        <v>-1.8015312046444121</v>
      </c>
      <c r="I3" s="9"/>
      <c r="J3" s="9"/>
      <c r="K3" s="9"/>
      <c r="L3" s="12"/>
      <c r="M3" s="13"/>
    </row>
    <row r="4" spans="1:13" x14ac:dyDescent="0.35">
      <c r="A4" t="str">
        <f>Data!A4</f>
        <v>2019Q3</v>
      </c>
      <c r="B4" s="8">
        <f>IF(OR(Data!C4="",Data!E4=""),"",Data!C4/Data!E4)</f>
        <v>14.312383322962043</v>
      </c>
      <c r="C4" s="9">
        <f>IF(OR(Data!J4="",Data!C4=""),"",Data!J4/(Data!C4*1000))</f>
        <v>4.5239130434782608E-2</v>
      </c>
      <c r="D4" s="9" t="str">
        <f>IF(OR(Data!K4=""),"",Data!K4/(Data!C4*1000))</f>
        <v/>
      </c>
      <c r="E4" s="9" t="str">
        <f>IF(OR(Data!L4=""),"",Data!L4/(Data!C4*1000))</f>
        <v/>
      </c>
      <c r="F4" s="10">
        <f>IF(OR(Data!E4=""),"",Data!M4/(Data!E4*1000))</f>
        <v>-0.78939639079029267</v>
      </c>
      <c r="G4" s="11">
        <f>IF(OR(Data!C4=""),"",Data!M4/(Data!C4*1000))</f>
        <v>-5.5154782608695649E-2</v>
      </c>
      <c r="H4" s="9">
        <f>IF(OR(Data!J4=""),"",Data!M4/Data!J4)</f>
        <v>-1.2191830850552619</v>
      </c>
      <c r="I4" s="9"/>
      <c r="J4" s="9"/>
      <c r="K4" s="9"/>
      <c r="L4" s="12"/>
      <c r="M4" s="13"/>
    </row>
    <row r="5" spans="1:13" x14ac:dyDescent="0.35">
      <c r="A5" t="str">
        <f>Data!A5</f>
        <v>2019Q4</v>
      </c>
      <c r="B5" s="8">
        <f>IF(OR(Data!C5="",Data!E5=""),"",Data!C5/Data!E5)</f>
        <v>12.712826333711691</v>
      </c>
      <c r="C5" s="9">
        <f>IF(OR(Data!J5="",Data!C5=""),"",Data!J5/(Data!C5*1000))</f>
        <v>5.0625000000000003E-2</v>
      </c>
      <c r="D5" s="9" t="str">
        <f>IF(OR(Data!K5=""),"",Data!K5/(Data!C5*1000))</f>
        <v/>
      </c>
      <c r="E5" s="9" t="str">
        <f>IF(OR(Data!L5=""),"",Data!L5/(Data!C5*1000))</f>
        <v/>
      </c>
      <c r="F5" s="10">
        <f>IF(OR(Data!E5=""),"",Data!M5/(Data!E5*1000))</f>
        <v>-0.6950056753688989</v>
      </c>
      <c r="G5" s="11">
        <f>IF(OR(Data!C5=""),"",Data!M5/(Data!C5*1000))</f>
        <v>-5.4669642857142854E-2</v>
      </c>
      <c r="H5" s="9">
        <f>IF(OR(Data!J5=""),"",Data!M5/Data!J5)</f>
        <v>-1.0798941798941799</v>
      </c>
      <c r="I5" s="9"/>
      <c r="J5" s="9"/>
      <c r="K5" s="9"/>
      <c r="L5" s="12">
        <f>SUM(Data!C2:C5)</f>
        <v>17.5</v>
      </c>
      <c r="M5" s="13">
        <f>SUM(Data!M2:M5)</f>
        <v>-1043.366</v>
      </c>
    </row>
    <row r="6" spans="1:13" x14ac:dyDescent="0.35">
      <c r="A6" t="str">
        <f>Data!A6</f>
        <v>2020Q1</v>
      </c>
      <c r="B6" s="8">
        <f>IF(OR(Data!C6="",Data!E6=""),"",Data!C6/Data!E6)</f>
        <v>14.4253140995812</v>
      </c>
      <c r="C6" s="9">
        <f>IF(OR(Data!J6="",Data!C6=""),"",Data!J6/(Data!C6*1000))</f>
        <v>3.8177419354838711E-2</v>
      </c>
      <c r="D6" s="9" t="str">
        <f>IF(OR(Data!K6=""),"",Data!K6/(Data!C6*1000))</f>
        <v/>
      </c>
      <c r="E6" s="9" t="str">
        <f>IF(OR(Data!L6=""),"",Data!L6/(Data!C6*1000))</f>
        <v/>
      </c>
      <c r="F6" s="10">
        <f>IF(OR(Data!E6=""),"",Data!M6/(Data!E6*1000))</f>
        <v>-0.60497673336435553</v>
      </c>
      <c r="G6" s="11">
        <f>IF(OR(Data!C6=""),"",Data!M6/(Data!C6*1000))</f>
        <v>-4.1938548387096777E-2</v>
      </c>
      <c r="H6" s="9">
        <f>IF(OR(Data!J6=""),"",Data!M6/Data!J6)</f>
        <v>-1.0985171102661597</v>
      </c>
      <c r="I6" s="9">
        <f>IF(OR(Data!C6="",Data!C2=""),"",Data!C6/Data!C2-1)</f>
        <v>0.77142857142857157</v>
      </c>
      <c r="J6" s="9">
        <f>IF(OR(Data!E6="",Data!E2=""),"",Data!E6/Data!E2-1)</f>
        <v>1.1120393120393124</v>
      </c>
      <c r="K6" s="9">
        <f>IF(OR(Data!J6="",Data!J2=""),"",Data!J6/Data!J2-1)</f>
        <v>1.3205882352941174</v>
      </c>
      <c r="L6" s="12">
        <f>SUM(Data!C3:C6)</f>
        <v>20.2</v>
      </c>
      <c r="M6" s="13">
        <f>SUM(Data!M3:M6)</f>
        <v>-1068.1320000000001</v>
      </c>
    </row>
    <row r="7" spans="1:13" x14ac:dyDescent="0.35">
      <c r="A7" t="str">
        <f>Data!A7</f>
        <v>2020Q2</v>
      </c>
      <c r="B7" s="8">
        <f>IF(OR(Data!C7="",Data!E7=""),"",Data!C7/Data!E7)</f>
        <v>12.989121610651079</v>
      </c>
      <c r="C7" s="9">
        <f>IF(OR(Data!J7="",Data!C7=""),"",Data!J7/(Data!C7*1000))</f>
        <v>4.7337499999999998E-2</v>
      </c>
      <c r="D7" s="9" t="str">
        <f>IF(OR(Data!K7=""),"",Data!K7/(Data!C7*1000))</f>
        <v/>
      </c>
      <c r="E7" s="9" t="str">
        <f>IF(OR(Data!L7=""),"",Data!L7/(Data!C7*1000))</f>
        <v/>
      </c>
      <c r="F7" s="10">
        <f>IF(OR(Data!E7=""),"",Data!M7/(Data!E7*1000))</f>
        <v>-0.49598473778210744</v>
      </c>
      <c r="G7" s="11">
        <f>IF(OR(Data!C7=""),"",Data!M7/(Data!C7*1000))</f>
        <v>-3.8184625E-2</v>
      </c>
      <c r="H7" s="9">
        <f>IF(OR(Data!J7=""),"",Data!M7/Data!J7)</f>
        <v>-0.806646421969897</v>
      </c>
      <c r="I7" s="9">
        <f>IF(OR(Data!C7="",Data!C3=""),"",Data!C7/Data!C3-1)</f>
        <v>1.1052631578947367</v>
      </c>
      <c r="J7" s="9">
        <f>IF(OR(Data!E7="",Data!E3=""),"",Data!E7/Data!E3-1)</f>
        <v>1.5006090133982948</v>
      </c>
      <c r="K7" s="9">
        <f>IF(OR(Data!J7="",Data!J3=""),"",Data!J7/Data!J3-1)</f>
        <v>1.7481857764876629</v>
      </c>
      <c r="L7" s="12">
        <f>SUM(Data!C4:C7)</f>
        <v>24.4</v>
      </c>
      <c r="M7" s="13">
        <f>SUM(Data!M4:M7)</f>
        <v>-1125.3579999999999</v>
      </c>
    </row>
    <row r="8" spans="1:13" x14ac:dyDescent="0.35">
      <c r="A8" t="str">
        <f>Data!A8</f>
        <v>2020Q3</v>
      </c>
      <c r="B8" s="8">
        <f>IF(OR(Data!C8="",Data!E8=""),"",Data!C8/Data!E8)</f>
        <v>12.540453074433657</v>
      </c>
      <c r="C8" s="9">
        <f>IF(OR(Data!J8="",Data!C8=""),"",Data!J8/(Data!C8*1000))</f>
        <v>5.0225806451612905E-2</v>
      </c>
      <c r="D8" s="9" t="str">
        <f>IF(OR(Data!K8=""),"",Data!K8/(Data!C8*1000))</f>
        <v/>
      </c>
      <c r="E8" s="9" t="str">
        <f>IF(OR(Data!L8=""),"",Data!L8/(Data!C8*1000))</f>
        <v/>
      </c>
      <c r="F8" s="10">
        <f>IF(OR(Data!E8=""),"",Data!M8/(Data!E8*1000))</f>
        <v>-0.40667475728155333</v>
      </c>
      <c r="G8" s="11">
        <f>IF(OR(Data!C8=""),"",Data!M8/(Data!C8*1000))</f>
        <v>-3.2429032258064511E-2</v>
      </c>
      <c r="H8" s="9">
        <f>IF(OR(Data!J8=""),"",Data!M8/Data!J8)</f>
        <v>-0.64566473988439299</v>
      </c>
      <c r="I8" s="9">
        <f>IF(OR(Data!C8="",Data!C4=""),"",Data!C8/Data!C4-1)</f>
        <v>1.0217391304347827</v>
      </c>
      <c r="J8" s="9">
        <f>IF(OR(Data!E8="",Data!E4=""),"",Data!E8/Data!E4-1)</f>
        <v>1.3074051026757942</v>
      </c>
      <c r="K8" s="9">
        <f>IF(OR(Data!J8="",Data!J4=""),"",Data!J8/Data!J4-1)</f>
        <v>1.2445939452186452</v>
      </c>
      <c r="L8" s="12">
        <f>SUM(Data!C5:C8)</f>
        <v>29.1</v>
      </c>
      <c r="M8" s="13">
        <f>SUM(Data!M5:M8)</f>
        <v>-1173.2359999999999</v>
      </c>
    </row>
    <row r="9" spans="1:13" x14ac:dyDescent="0.35">
      <c r="A9" t="str">
        <f>Data!A9</f>
        <v>2020Q4</v>
      </c>
      <c r="B9" s="8">
        <f>IF(OR(Data!C9="",Data!E9=""),"",Data!C9/Data!E9)</f>
        <v>11.9</v>
      </c>
      <c r="C9" s="9">
        <f>IF(OR(Data!J9="",Data!C9=""),"",Data!J9/(Data!C9*1000))</f>
        <v>5.2739495798319332E-2</v>
      </c>
      <c r="D9" s="9" t="str">
        <f>IF(OR(Data!K9=""),"",Data!K9/(Data!C9*1000))</f>
        <v/>
      </c>
      <c r="E9" s="9" t="str">
        <f>IF(OR(Data!L9=""),"",Data!L9/(Data!C9*1000))</f>
        <v/>
      </c>
      <c r="F9" s="10">
        <f>IF(OR(Data!E9=""),"",Data!M9/(Data!E9*1000))</f>
        <v>-0.42747399999999997</v>
      </c>
      <c r="G9" s="11">
        <f>IF(OR(Data!C9=""),"",Data!M9/(Data!C9*1000))</f>
        <v>-3.5922184873949582E-2</v>
      </c>
      <c r="H9" s="9">
        <f>IF(OR(Data!J9=""),"",Data!M9/Data!J9)</f>
        <v>-0.68112492033142125</v>
      </c>
      <c r="I9" s="9">
        <f>IF(OR(Data!C9="",Data!C5=""),"",Data!C9/Data!C5-1)</f>
        <v>1.125</v>
      </c>
      <c r="J9" s="9">
        <f>IF(OR(Data!E9="",Data!E5=""),"",Data!E9/Data!E5-1)</f>
        <v>1.2701475595913734</v>
      </c>
      <c r="K9" s="9">
        <f>IF(OR(Data!J9="",Data!J5=""),"",Data!J9/Data!J5-1)</f>
        <v>1.213756613756614</v>
      </c>
      <c r="L9" s="12">
        <f>SUM(Data!C6:C9)</f>
        <v>35.4</v>
      </c>
      <c r="M9" s="13">
        <f>SUM(Data!M6:M9)</f>
        <v>-1294.56</v>
      </c>
    </row>
    <row r="10" spans="1:13" x14ac:dyDescent="0.35">
      <c r="A10" t="str">
        <f>Data!A10</f>
        <v>2021Q1</v>
      </c>
      <c r="B10" s="8">
        <f>IF(OR(Data!C10="",Data!E10=""),"",Data!C10/Data!E10)</f>
        <v>11.454545454545453</v>
      </c>
      <c r="C10" s="9">
        <f>IF(OR(Data!J10="",Data!C10=""),"",Data!J10/(Data!C10*1000))</f>
        <v>5.6817460317460315E-2</v>
      </c>
      <c r="D10" s="9" t="str">
        <f>IF(OR(Data!K10=""),"",Data!K10/(Data!C10*1000))</f>
        <v/>
      </c>
      <c r="E10" s="9" t="str">
        <f>IF(OR(Data!L10=""),"",Data!L10/(Data!C10*1000))</f>
        <v/>
      </c>
      <c r="F10" s="10">
        <f>IF(OR(Data!E10=""),"",Data!M10/(Data!E10*1000))</f>
        <v>-0.37536090909090908</v>
      </c>
      <c r="G10" s="11">
        <f>IF(OR(Data!C10=""),"",Data!M10/(Data!C10*1000))</f>
        <v>-3.2769603174603174E-2</v>
      </c>
      <c r="H10" s="9">
        <f>IF(OR(Data!J10=""),"",Data!M10/Data!J10)</f>
        <v>-0.57675233971225037</v>
      </c>
      <c r="I10" s="9">
        <f>IF(OR(Data!C10="",Data!C6=""),"",Data!C10/Data!C6-1)</f>
        <v>1.032258064516129</v>
      </c>
      <c r="J10" s="9">
        <f>IF(OR(Data!E10="",Data!E6=""),"",Data!E10/Data!E6-1)</f>
        <v>1.5593299208934388</v>
      </c>
      <c r="K10" s="9">
        <f>IF(OR(Data!J10="",Data!J6=""),"",Data!J10/Data!J6-1)</f>
        <v>2.0245035910435152</v>
      </c>
      <c r="L10" s="12">
        <f>SUM(Data!C7:C10)</f>
        <v>41.800000000000004</v>
      </c>
      <c r="M10" s="13">
        <f>SUM(Data!M7:M10)</f>
        <v>-1447.4379999999999</v>
      </c>
    </row>
    <row r="11" spans="1:13" x14ac:dyDescent="0.35">
      <c r="A11" t="str">
        <f>Data!A11</f>
        <v>2021Q2</v>
      </c>
      <c r="B11" s="8">
        <f>IF(OR(Data!C11="",Data!E11=""),"",Data!C11/Data!E11)</f>
        <v>10.714285714285715</v>
      </c>
      <c r="C11" s="9">
        <f>IF(OR(Data!J11="",Data!C11=""),"",Data!J11/(Data!C11*1000))</f>
        <v>6.0306666666666668E-2</v>
      </c>
      <c r="D11" s="9" t="str">
        <f>IF(OR(Data!K11=""),"",Data!K11/(Data!C11*1000))</f>
        <v/>
      </c>
      <c r="E11" s="9" t="str">
        <f>IF(OR(Data!L11=""),"",Data!L11/(Data!C11*1000))</f>
        <v/>
      </c>
      <c r="F11" s="10">
        <f>IF(OR(Data!E11=""),"",Data!M11/(Data!E11*1000))</f>
        <v>-0.41412428571428572</v>
      </c>
      <c r="G11" s="11">
        <f>IF(OR(Data!C11=""),"",Data!M11/(Data!C11*1000))</f>
        <v>-3.8651600000000001E-2</v>
      </c>
      <c r="H11" s="9">
        <f>IF(OR(Data!J11=""),"",Data!M11/Data!J11)</f>
        <v>-0.64091753261109885</v>
      </c>
      <c r="I11" s="9">
        <f>IF(OR(Data!C11="",Data!C7=""),"",Data!C11/Data!C7-1)</f>
        <v>0.875</v>
      </c>
      <c r="J11" s="9">
        <f>IF(OR(Data!E11="",Data!E7=""),"",Data!E11/Data!E7-1)</f>
        <v>1.2730962818639386</v>
      </c>
      <c r="K11" s="9">
        <f>IF(OR(Data!J11="",Data!J7=""),"",Data!J11/Data!J7-1)</f>
        <v>1.3886981779772909</v>
      </c>
      <c r="L11" s="12">
        <f>SUM(Data!C8:C11)</f>
        <v>48.800000000000004</v>
      </c>
      <c r="M11" s="13">
        <f>SUM(Data!M8:M11)</f>
        <v>-1721.7350000000001</v>
      </c>
    </row>
    <row r="12" spans="1:13" x14ac:dyDescent="0.35">
      <c r="A12" t="str">
        <f>Data!A12</f>
        <v>2021Q3</v>
      </c>
      <c r="B12" s="8">
        <f>IF(OR(Data!C12="",Data!E12=""),"",Data!C12/Data!E12)</f>
        <v>9.882352941176471</v>
      </c>
      <c r="C12" s="9">
        <f>IF(OR(Data!J12="",Data!C12=""),"",Data!J12/(Data!C12*1000))</f>
        <v>7.1428571428571425E-2</v>
      </c>
      <c r="D12" s="9" t="str">
        <f>IF(OR(Data!K12=""),"",Data!K12/(Data!C12*1000))</f>
        <v/>
      </c>
      <c r="E12" s="9" t="str">
        <f>IF(OR(Data!L12=""),"",Data!L12/(Data!C12*1000))</f>
        <v/>
      </c>
      <c r="F12" s="10">
        <f>IF(OR(Data!E12=""),"",Data!M12/(Data!E12*1000))</f>
        <v>-0.40224294117647058</v>
      </c>
      <c r="G12" s="11">
        <f>IF(OR(Data!C12=""),"",Data!M12/(Data!C12*1000))</f>
        <v>-4.070315476190476E-2</v>
      </c>
      <c r="H12" s="9">
        <f>IF(OR(Data!J12=""),"",Data!M12/Data!J12)</f>
        <v>-0.56984416666666671</v>
      </c>
      <c r="I12" s="9">
        <f>IF(OR(Data!C12="",Data!C8=""),"",Data!C12/Data!C8-1)</f>
        <v>0.80645161290322576</v>
      </c>
      <c r="J12" s="9">
        <f>IF(OR(Data!E12="",Data!E8=""),"",Data!E12/Data!E8-1)</f>
        <v>1.292340884573894</v>
      </c>
      <c r="K12" s="9">
        <f>IF(OR(Data!J12="",Data!J8=""),"",Data!J12/Data!J8-1)</f>
        <v>1.5690430314707768</v>
      </c>
      <c r="L12" s="12">
        <f>SUM(Data!C9:C12)</f>
        <v>56.3</v>
      </c>
      <c r="M12" s="13">
        <f>SUM(Data!M9:M12)</f>
        <v>-2103.9580000000001</v>
      </c>
    </row>
    <row r="13" spans="1:13" x14ac:dyDescent="0.35">
      <c r="A13" t="str">
        <f>Data!A13</f>
        <v>2021Q4</v>
      </c>
      <c r="B13" s="8">
        <f>IF(OR(Data!C13="",Data!E13=""),"",Data!C13/Data!E13)</f>
        <v>9.1</v>
      </c>
      <c r="C13" s="9">
        <f>IF(OR(Data!J13="",Data!C13=""),"",Data!J13/(Data!C13*1000))</f>
        <v>7.1428571428571425E-2</v>
      </c>
      <c r="D13" s="9" t="str">
        <f>IF(OR(Data!K13=""),"",Data!K13/(Data!C13*1000))</f>
        <v/>
      </c>
      <c r="E13" s="9" t="str">
        <f>IF(OR(Data!L13=""),"",Data!L13/(Data!C13*1000))</f>
        <v/>
      </c>
      <c r="F13" s="10">
        <f>IF(OR(Data!E13=""),"",Data!M13/(Data!E13*1000))</f>
        <v>-0.43886849999999999</v>
      </c>
      <c r="G13" s="11">
        <f>IF(OR(Data!C13=""),"",Data!M13/(Data!C13*1000))</f>
        <v>-4.8227307692307687E-2</v>
      </c>
      <c r="H13" s="9">
        <f>IF(OR(Data!J13=""),"",Data!M13/Data!J13)</f>
        <v>-0.67518230769230769</v>
      </c>
      <c r="I13" s="9">
        <f>IF(OR(Data!C13="",Data!C9=""),"",Data!C13/Data!C9-1)</f>
        <v>0.52941176470588225</v>
      </c>
      <c r="J13" s="9">
        <f>IF(OR(Data!E13="",Data!E9=""),"",Data!E13/Data!E9-1)</f>
        <v>1</v>
      </c>
      <c r="K13" s="9">
        <f>IF(OR(Data!J13="",Data!J9=""),"",Data!J13/Data!J9-1)</f>
        <v>1.0713830465264498</v>
      </c>
      <c r="L13" s="12">
        <f>SUM(Data!C10:C13)</f>
        <v>62.600000000000009</v>
      </c>
      <c r="M13" s="13">
        <f>SUM(Data!M10:M13)</f>
        <v>-2554.221</v>
      </c>
    </row>
    <row r="14" spans="1:13" x14ac:dyDescent="0.35">
      <c r="A14" t="str">
        <f>Data!A14</f>
        <v>2022Q1</v>
      </c>
      <c r="B14" s="8">
        <f>IF(OR(Data!C14="",Data!E14=""),"",Data!C14/Data!E14)</f>
        <v>9.1578947368421044</v>
      </c>
      <c r="C14" s="9">
        <f>IF(OR(Data!J14="",Data!C14=""),"",Data!J14/(Data!C14*1000))</f>
        <v>7.4712643678160925E-2</v>
      </c>
      <c r="D14" s="9" t="str">
        <f>IF(OR(Data!K14=""),"",Data!K14/(Data!C14*1000))</f>
        <v/>
      </c>
      <c r="E14" s="9" t="str">
        <f>IF(OR(Data!L14=""),"",Data!L14/(Data!C14*1000))</f>
        <v/>
      </c>
      <c r="F14" s="10">
        <f>IF(OR(Data!E14=""),"",Data!M14/(Data!E14*1000))</f>
        <v>-0.39095789473684212</v>
      </c>
      <c r="G14" s="11">
        <f>IF(OR(Data!C14=""),"",Data!M14/(Data!C14*1000))</f>
        <v>-4.2690804597701151E-2</v>
      </c>
      <c r="H14" s="9">
        <f>IF(OR(Data!J14=""),"",Data!M14/Data!J14)</f>
        <v>-0.57140000000000002</v>
      </c>
      <c r="I14" s="9">
        <f>IF(OR(Data!C14="",Data!C10=""),"",Data!C14/Data!C10-1)</f>
        <v>0.38095238095238093</v>
      </c>
      <c r="J14" s="9">
        <f>IF(OR(Data!E14="",Data!E10=""),"",Data!E14/Data!E10-1)</f>
        <v>0.72727272727272707</v>
      </c>
      <c r="K14" s="9">
        <f>IF(OR(Data!J14="",Data!J10=""),"",Data!J14/Data!J10-1)</f>
        <v>0.81589607487079197</v>
      </c>
      <c r="L14" s="12">
        <f>SUM(Data!C11:C14)</f>
        <v>67.400000000000006</v>
      </c>
      <c r="M14" s="13">
        <f>SUM(Data!M11:M14)</f>
        <v>-2884.1440000000002</v>
      </c>
    </row>
    <row r="15" spans="1:13" x14ac:dyDescent="0.35">
      <c r="A15" t="str">
        <f>Data!A15</f>
        <v>2022Q2</v>
      </c>
      <c r="B15" s="8">
        <f>IF(OR(Data!C15="",Data!E15=""),"",Data!C15/Data!E15)</f>
        <v>9.5</v>
      </c>
      <c r="C15" s="9">
        <f>IF(OR(Data!J15="",Data!C15=""),"",Data!J15/(Data!C15*1000))</f>
        <v>7.8947368421052627E-2</v>
      </c>
      <c r="D15" s="9" t="str">
        <f>IF(OR(Data!K15=""),"",Data!K15/(Data!C15*1000))</f>
        <v/>
      </c>
      <c r="E15" s="9" t="str">
        <f>IF(OR(Data!L15=""),"",Data!L15/(Data!C15*1000))</f>
        <v/>
      </c>
      <c r="F15" s="10">
        <f>IF(OR(Data!E15=""),"",Data!M15/(Data!E15*1000))</f>
        <v>-0.32407249999999999</v>
      </c>
      <c r="G15" s="11">
        <f>IF(OR(Data!C15=""),"",Data!M15/(Data!C15*1000))</f>
        <v>-3.4112894736842106E-2</v>
      </c>
      <c r="H15" s="9">
        <f>IF(OR(Data!J15=""),"",Data!M15/Data!J15)</f>
        <v>-0.43209666666666663</v>
      </c>
      <c r="I15" s="9">
        <f>IF(OR(Data!C15="",Data!C11=""),"",Data!C15/Data!C11-1)</f>
        <v>0.26666666666666661</v>
      </c>
      <c r="J15" s="9">
        <f>IF(OR(Data!E15="",Data!E11=""),"",Data!E15/Data!E11-1)</f>
        <v>0.4285714285714286</v>
      </c>
      <c r="K15" s="9">
        <f>IF(OR(Data!J15="",Data!J11=""),"",Data!J15/Data!J11-1)</f>
        <v>0.65819146584125576</v>
      </c>
      <c r="L15" s="12">
        <f>SUM(Data!C12:C15)</f>
        <v>71.400000000000006</v>
      </c>
      <c r="M15" s="13">
        <f>SUM(Data!M12:M15)</f>
        <v>-2952.5149999999999</v>
      </c>
    </row>
    <row r="16" spans="1:13" x14ac:dyDescent="0.35">
      <c r="A16" t="str">
        <f>Data!A16</f>
        <v>2022Q3</v>
      </c>
      <c r="B16" s="8">
        <f>IF(OR(Data!C16="",Data!E16=""),"",Data!C16/Data!E16)</f>
        <v>9.5500000000000007</v>
      </c>
      <c r="C16" s="9">
        <f>IF(OR(Data!J16="",Data!C16=""),"",Data!J16/(Data!C16*1000))</f>
        <v>8.3769633507853408E-2</v>
      </c>
      <c r="D16" s="9">
        <f>IF(OR(Data!K16=""),"",Data!K16/(Data!C16*1000))</f>
        <v>5.2356020942408377E-2</v>
      </c>
      <c r="E16" s="9">
        <f>IF(OR(Data!L16=""),"",Data!L16/(Data!C16*1000))</f>
        <v>3.1413612565445025E-2</v>
      </c>
      <c r="F16" s="10">
        <f>IF(OR(Data!E16=""),"",Data!M16/(Data!E16*1000))</f>
        <v>-0.24786750000000002</v>
      </c>
      <c r="G16" s="11">
        <f>IF(OR(Data!C16=""),"",Data!M16/(Data!C16*1000))</f>
        <v>-2.5954712041884816E-2</v>
      </c>
      <c r="H16" s="9">
        <f>IF(OR(Data!J16=""),"",Data!M16/Data!J16)</f>
        <v>-0.309834375</v>
      </c>
      <c r="I16" s="9">
        <f>IF(OR(Data!C16="",Data!C12=""),"",Data!C16/Data!C12-1)</f>
        <v>0.13690476190476186</v>
      </c>
      <c r="J16" s="9">
        <f>IF(OR(Data!E16="",Data!E12=""),"",Data!E16/Data!E12-1)</f>
        <v>0.17647058823529416</v>
      </c>
      <c r="K16" s="9">
        <f>IF(OR(Data!J16="",Data!J12=""),"",Data!J16/Data!J12-1)</f>
        <v>0.33333333333333326</v>
      </c>
      <c r="L16" s="12">
        <f>SUM(Data!C13:C16)</f>
        <v>73.699999999999989</v>
      </c>
      <c r="M16" s="13">
        <f>SUM(Data!M13:M16)</f>
        <v>-2764.4370000000004</v>
      </c>
    </row>
    <row r="17" spans="1:13" x14ac:dyDescent="0.35">
      <c r="A17" t="str">
        <f>Data!A17</f>
        <v>2022Q4</v>
      </c>
      <c r="B17" s="8">
        <f>IF(OR(Data!C17="",Data!E17=""),"",Data!C17/Data!E17)</f>
        <v>10.588235294117647</v>
      </c>
      <c r="C17" s="9">
        <f>IF(OR(Data!J17="",Data!C17=""),"",Data!J17/(Data!C17*1000))</f>
        <v>0.1</v>
      </c>
      <c r="D17" s="9">
        <f>IF(OR(Data!K17=""),"",Data!K17/(Data!C17*1000))</f>
        <v>6.1111111111111109E-2</v>
      </c>
      <c r="E17" s="9">
        <f>IF(OR(Data!L17=""),"",Data!L17/(Data!C17*1000))</f>
        <v>3.888888888888889E-2</v>
      </c>
      <c r="F17" s="10">
        <f>IF(OR(Data!E17=""),"",Data!M17/(Data!E17*1000))</f>
        <v>0.11538</v>
      </c>
      <c r="G17" s="11">
        <f>IF(OR(Data!C17=""),"",Data!M17/(Data!C17*1000))</f>
        <v>1.0896999999999999E-2</v>
      </c>
      <c r="H17" s="9">
        <f>IF(OR(Data!J17=""),"",Data!M17/Data!J17)</f>
        <v>0.10897</v>
      </c>
      <c r="I17" s="9">
        <f>IF(OR(Data!C17="",Data!C13=""),"",Data!C17/Data!C13-1)</f>
        <v>-1.098901098901095E-2</v>
      </c>
      <c r="J17" s="9">
        <f>IF(OR(Data!E17="",Data!E13=""),"",Data!E17/Data!E13-1)</f>
        <v>-0.15000000000000002</v>
      </c>
      <c r="K17" s="9">
        <f>IF(OR(Data!J17="",Data!J13=""),"",Data!J17/Data!J13-1)</f>
        <v>0.38461538461538458</v>
      </c>
      <c r="L17" s="12">
        <f>SUM(Data!C14:C17)</f>
        <v>73.5</v>
      </c>
      <c r="M17" s="13">
        <f>SUM(Data!M14:M17)</f>
        <v>-1690.5540000000003</v>
      </c>
    </row>
    <row r="18" spans="1:13" x14ac:dyDescent="0.35">
      <c r="A18" t="str">
        <f>Data!A18</f>
        <v>2023Q1</v>
      </c>
      <c r="B18" s="8">
        <f>IF(OR(Data!C18="",Data!E18=""),"",Data!C18/Data!E18)</f>
        <v>10.443305186972257</v>
      </c>
      <c r="C18" s="9">
        <f>IF(OR(Data!J18="",Data!C18=""),"",Data!J18/(Data!C18*1000))</f>
        <v>0.10395610742131101</v>
      </c>
      <c r="D18" s="9">
        <f>IF(OR(Data!K18=""),"",Data!K18/(Data!C18*1000))</f>
        <v>6.9304071614207333E-2</v>
      </c>
      <c r="E18" s="9">
        <f>IF(OR(Data!L18=""),"",Data!L18/(Data!C18*1000))</f>
        <v>4.042737510828761E-2</v>
      </c>
      <c r="F18" s="10">
        <f>IF(OR(Data!E18=""),"",Data!M18/(Data!E18*1000))</f>
        <v>0.12527985524728588</v>
      </c>
      <c r="G18" s="11">
        <f>IF(OR(Data!C18=""),"",Data!M18/(Data!C18*1000))</f>
        <v>1.1996188276061219E-2</v>
      </c>
      <c r="H18" s="9">
        <f>IF(OR(Data!J18=""),"",Data!M18/Data!J18)</f>
        <v>0.11539666666666666</v>
      </c>
      <c r="I18" s="9">
        <f>IF(OR(Data!C18="",Data!C14=""),"",Data!C18/Data!C14-1)</f>
        <v>-4.8850574712642203E-3</v>
      </c>
      <c r="J18" s="9">
        <f>IF(OR(Data!E18="",Data!E14=""),"",Data!E18/Data!E14-1)</f>
        <v>-0.12736842105263158</v>
      </c>
      <c r="K18" s="9">
        <f>IF(OR(Data!J18="",Data!J14=""),"",Data!J18/Data!J14-1)</f>
        <v>0.38461538461538458</v>
      </c>
      <c r="L18" s="12">
        <f>SUM(Data!C15:C18)</f>
        <v>73.415000000000006</v>
      </c>
      <c r="M18" s="13">
        <f>SUM(Data!M15:M18)</f>
        <v>-740.02000000000021</v>
      </c>
    </row>
    <row r="19" spans="1:13" x14ac:dyDescent="0.35">
      <c r="A19" t="str">
        <f>Data!A19</f>
        <v>2023Q2</v>
      </c>
      <c r="B19" s="8">
        <f>IF(OR(Data!C19="",Data!E19=""),"",Data!C19/Data!E19)</f>
        <v>10.127946127946126</v>
      </c>
      <c r="C19" s="9">
        <f>IF(OR(Data!J19="",Data!C19=""),"",Data!J19/(Data!C19*1000))</f>
        <v>0.10527482269503546</v>
      </c>
      <c r="D19" s="9">
        <f>IF(OR(Data!K19=""),"",Data!K19/(Data!C19*1000))</f>
        <v>6.6489361702127658E-2</v>
      </c>
      <c r="E19" s="9">
        <f>IF(OR(Data!L19=""),"",Data!L19/(Data!C19*1000))</f>
        <v>3.4640957446808514E-2</v>
      </c>
      <c r="F19" s="10">
        <f>IF(OR(Data!E19=""),"",Data!M19/(Data!E19*1000))</f>
        <v>8.4365319865319865E-2</v>
      </c>
      <c r="G19" s="11">
        <f>IF(OR(Data!C19=""),"",Data!M19/(Data!C19*1000))</f>
        <v>8.3299534574468089E-3</v>
      </c>
      <c r="H19" s="9">
        <f>IF(OR(Data!J19=""),"",Data!M19/Data!J19)</f>
        <v>7.9125789473684205E-2</v>
      </c>
      <c r="I19" s="9">
        <f>IF(OR(Data!C19="",Data!C15=""),"",Data!C19/Data!C15-1)</f>
        <v>-5.0105263157894875E-2</v>
      </c>
      <c r="J19" s="9">
        <f>IF(OR(Data!E19="",Data!E15=""),"",Data!E19/Data!E15-1)</f>
        <v>-0.10899999999999999</v>
      </c>
      <c r="K19" s="9">
        <f>IF(OR(Data!J19="",Data!J15=""),"",Data!J19/Data!J15-1)</f>
        <v>0.26666666666666661</v>
      </c>
      <c r="L19" s="12">
        <f>SUM(Data!C16:C19)</f>
        <v>72.463000000000008</v>
      </c>
      <c r="M19" s="13">
        <f>SUM(Data!M16:M19)</f>
        <v>58.463999999999942</v>
      </c>
    </row>
    <row r="20" spans="1:13" x14ac:dyDescent="0.35">
      <c r="A20" t="str">
        <f>Data!A20</f>
        <v>2023Q3</v>
      </c>
      <c r="B20" s="8">
        <f>IF(OR(Data!C20="",Data!E20=""),"",Data!C20/Data!E20)</f>
        <v>9.1363636363636367</v>
      </c>
      <c r="C20" s="9">
        <f>IF(OR(Data!J20="",Data!C20=""),"",Data!J20/(Data!C20*1000))</f>
        <v>9.4527363184079602E-2</v>
      </c>
      <c r="D20" s="9">
        <f>IF(OR(Data!K20=""),"",Data!K20/(Data!C20*1000))</f>
        <v>6.4676616915422883E-2</v>
      </c>
      <c r="E20" s="9">
        <f>IF(OR(Data!L20=""),"",Data!L20/(Data!C20*1000))</f>
        <v>2.9492537313432834E-2</v>
      </c>
      <c r="F20" s="10">
        <f>IF(OR(Data!E20=""),"",Data!M20/(Data!E20*1000))</f>
        <v>-0.15749772727272726</v>
      </c>
      <c r="G20" s="11">
        <f>IF(OR(Data!C20=""),"",Data!M20/(Data!C20*1000))</f>
        <v>-1.7238557213930347E-2</v>
      </c>
      <c r="H20" s="9">
        <f>IF(OR(Data!J20=""),"",Data!M20/Data!J20)</f>
        <v>-0.1823657894736842</v>
      </c>
      <c r="I20" s="9">
        <f>IF(OR(Data!C20="",Data!C16=""),"",Data!C20/Data!C16-1)</f>
        <v>5.2356020942408321E-2</v>
      </c>
      <c r="J20" s="9">
        <f>IF(OR(Data!E20="",Data!E16=""),"",Data!E20/Data!E16-1)</f>
        <v>0.10000000000000009</v>
      </c>
      <c r="K20" s="9">
        <f>IF(OR(Data!J20="",Data!J16=""),"",Data!J20/Data!J16-1)</f>
        <v>0.1875</v>
      </c>
      <c r="L20" s="12">
        <f>SUM(Data!C17:C20)</f>
        <v>73.462999999999994</v>
      </c>
      <c r="M20" s="13">
        <f>SUM(Data!M17:M20)</f>
        <v>207.70400000000006</v>
      </c>
    </row>
    <row r="21" spans="1:13" x14ac:dyDescent="0.35">
      <c r="A21" t="str">
        <f>Data!A21</f>
        <v>2023Q4</v>
      </c>
      <c r="B21" s="8">
        <f>IF(OR(Data!C21="",Data!E21=""),"",Data!C21/Data!E21)</f>
        <v>9.24</v>
      </c>
      <c r="C21" s="9">
        <f>IF(OR(Data!J21="",Data!C21=""),"",Data!J21/(Data!C21*1000))</f>
        <v>9.9567099567099568E-2</v>
      </c>
      <c r="D21" s="9">
        <f>IF(OR(Data!K21=""),"",Data!K21/(Data!C21*1000))</f>
        <v>6.9264069264069264E-2</v>
      </c>
      <c r="E21" s="9">
        <f>IF(OR(Data!L21=""),"",Data!L21/(Data!C21*1000))</f>
        <v>2.8480519480519481E-2</v>
      </c>
      <c r="F21" s="10">
        <f>IF(OR(Data!E21=""),"",Data!M21/(Data!E21*1000))</f>
        <v>-9.0132799999999999E-2</v>
      </c>
      <c r="G21" s="11">
        <f>IF(OR(Data!C21=""),"",Data!M21/(Data!C21*1000))</f>
        <v>-9.7546320346320343E-3</v>
      </c>
      <c r="H21" s="9">
        <f>IF(OR(Data!J21=""),"",Data!M21/Data!J21)</f>
        <v>-9.7970434782608695E-2</v>
      </c>
      <c r="I21" s="9">
        <f>IF(OR(Data!C21="",Data!C17=""),"",Data!C21/Data!C17-1)</f>
        <v>0.28333333333333344</v>
      </c>
      <c r="J21" s="9">
        <f>IF(OR(Data!E21="",Data!E17=""),"",Data!E21/Data!E17-1)</f>
        <v>0.47058823529411775</v>
      </c>
      <c r="K21" s="9">
        <f>IF(OR(Data!J21="",Data!J17=""),"",Data!J21/Data!J17-1)</f>
        <v>0.27777777777777768</v>
      </c>
      <c r="L21" s="12">
        <f>SUM(Data!C18:C21)</f>
        <v>78.563000000000002</v>
      </c>
      <c r="M21" s="13">
        <f>SUM(Data!M18:M21)</f>
        <v>-213.774</v>
      </c>
    </row>
    <row r="22" spans="1:13" x14ac:dyDescent="0.35">
      <c r="A22" t="str">
        <f>Data!A22</f>
        <v>2024Q1</v>
      </c>
      <c r="B22" s="8">
        <f>IF(OR(Data!C22="",Data!E22=""),"",Data!C22/Data!E22)</f>
        <v>9.0769230769230766</v>
      </c>
      <c r="C22" s="9">
        <f>IF(OR(Data!J22="",Data!C22=""),"",Data!J22/(Data!C22*1000))</f>
        <v>0.10265847457627118</v>
      </c>
      <c r="D22" s="9">
        <f>IF(OR(Data!K22=""),"",Data!K22/(Data!C22*1000))</f>
        <v>7.204406779661017E-2</v>
      </c>
      <c r="E22" s="9">
        <f>IF(OR(Data!L22=""),"",Data!L22/(Data!C22*1000))</f>
        <v>3.0614406779661017E-2</v>
      </c>
      <c r="F22" s="10">
        <f>IF(OR(Data!E22=""),"",Data!M22/(Data!E22*1000))</f>
        <v>-8.3461538461538452E-3</v>
      </c>
      <c r="G22" s="11">
        <f>IF(OR(Data!C22=""),"",Data!M22/(Data!C22*1000))</f>
        <v>-9.1949152542372876E-4</v>
      </c>
      <c r="H22" s="9">
        <f>IF(OR(Data!J22=""),"",Data!M22/Data!J22)</f>
        <v>-8.9568009774057475E-3</v>
      </c>
      <c r="I22" s="9">
        <f>IF(OR(Data!C22="",Data!C18=""),"",Data!C22/Data!C18-1)</f>
        <v>0.36298007507941099</v>
      </c>
      <c r="J22" s="9">
        <f>IF(OR(Data!E22="",Data!E18=""),"",Data!E22/Data!E18-1)</f>
        <v>0.56815440289505448</v>
      </c>
      <c r="K22" s="9">
        <f>IF(OR(Data!J22="",Data!J18=""),"",Data!J22/Data!J18-1)</f>
        <v>0.34596666666666653</v>
      </c>
      <c r="L22" s="12">
        <f>SUM(Data!C19:C22)</f>
        <v>84.847999999999999</v>
      </c>
      <c r="M22" s="13">
        <f>SUM(Data!M19:M22)</f>
        <v>-443.18799999999999</v>
      </c>
    </row>
    <row r="23" spans="1:13" x14ac:dyDescent="0.35">
      <c r="A23" t="str">
        <f>Data!A23</f>
        <v>2024Q2</v>
      </c>
      <c r="B23" s="8">
        <f>IF(OR(Data!C23="",Data!E23=""),"",Data!C23/Data!E23)</f>
        <v>9.32</v>
      </c>
      <c r="C23" s="9">
        <f>IF(OR(Data!J23="",Data!C23=""),"",Data!J23/(Data!C23*1000))</f>
        <v>0.10643047210300428</v>
      </c>
      <c r="D23" s="9">
        <f>IF(OR(Data!K23=""),"",Data!K23/(Data!C23*1000))</f>
        <v>7.5430472103004284E-2</v>
      </c>
      <c r="E23" s="9">
        <f>IF(OR(Data!L23=""),"",Data!L23/(Data!C23*1000))</f>
        <v>3.1E-2</v>
      </c>
      <c r="F23" s="10">
        <f>IF(OR(Data!E23=""),"",Data!M23/(Data!E23*1000))</f>
        <v>-3.6719999999999999E-3</v>
      </c>
      <c r="G23" s="11">
        <f>IF(OR(Data!C23=""),"",Data!M23/(Data!C23*1000))</f>
        <v>-3.9399141630901287E-4</v>
      </c>
      <c r="H23" s="9">
        <f>IF(OR(Data!J23=""),"",Data!M23/Data!J23)</f>
        <v>-3.7018666602146116E-3</v>
      </c>
      <c r="I23" s="9">
        <f>IF(OR(Data!C23="",Data!C19=""),"",Data!C23/Data!C19-1)</f>
        <v>0.29100177304964547</v>
      </c>
      <c r="J23" s="9">
        <f>IF(OR(Data!E23="",Data!E19=""),"",Data!E23/Data!E19-1)</f>
        <v>0.4029180695847363</v>
      </c>
      <c r="K23" s="9">
        <f>IF(OR(Data!J23="",Data!J19=""),"",Data!J23/Data!J19-1)</f>
        <v>0.30517368421052637</v>
      </c>
      <c r="L23" s="12">
        <f>SUM(Data!C20:C23)</f>
        <v>90.100000000000009</v>
      </c>
      <c r="M23" s="13">
        <f>SUM(Data!M20:M23)</f>
        <v>-602.70699999999999</v>
      </c>
    </row>
    <row r="24" spans="1:13" x14ac:dyDescent="0.35">
      <c r="A24" t="str">
        <f>Data!A24</f>
        <v>2024Q3</v>
      </c>
      <c r="B24" s="8">
        <f>IF(OR(Data!C24="",Data!E24=""),"",Data!C24/Data!E24)</f>
        <v>8.9642857142857153</v>
      </c>
      <c r="C24" s="9">
        <f>IF(OR(Data!J24="",Data!C24=""),"",Data!J24/(Data!C24*1000))</f>
        <v>0.11024553784860558</v>
      </c>
      <c r="D24" s="9">
        <f>IF(OR(Data!K24=""),"",Data!K24/(Data!C24*1000))</f>
        <v>7.967980079681275E-2</v>
      </c>
      <c r="E24" s="9">
        <f>IF(OR(Data!L24=""),"",Data!L24/(Data!C24*1000))</f>
        <v>3.056573705179283E-2</v>
      </c>
      <c r="F24" s="10">
        <f>IF(OR(Data!E24=""),"",Data!M24/(Data!E24*1000))</f>
        <v>1.2302142857142857E-2</v>
      </c>
      <c r="G24" s="11">
        <f>IF(OR(Data!C24=""),"",Data!M24/(Data!C24*1000))</f>
        <v>1.3723505976095617E-3</v>
      </c>
      <c r="H24" s="9">
        <f>IF(OR(Data!J24=""),"",Data!M24/Data!J24)</f>
        <v>1.244812828156491E-2</v>
      </c>
      <c r="I24" s="9">
        <f>IF(OR(Data!C24="",Data!C20=""),"",Data!C24/Data!C20-1)</f>
        <v>0.24875621890547261</v>
      </c>
      <c r="J24" s="9">
        <f>IF(OR(Data!E24="",Data!E20=""),"",Data!E24/Data!E20-1)</f>
        <v>0.27272727272727249</v>
      </c>
      <c r="K24" s="9">
        <f>IF(OR(Data!J24="",Data!J20=""),"",Data!J24/Data!J20-1)</f>
        <v>0.45640157894736832</v>
      </c>
      <c r="L24" s="12">
        <f>SUM(Data!C21:C24)</f>
        <v>95.1</v>
      </c>
      <c r="M24" s="13">
        <f>SUM(Data!M21:M24)</f>
        <v>-221.76599999999999</v>
      </c>
    </row>
    <row r="25" spans="1:13" x14ac:dyDescent="0.35">
      <c r="A25" t="str">
        <f>Data!A25</f>
        <v>2024Q4</v>
      </c>
      <c r="B25" s="8">
        <f>IF(OR(Data!C25="",Data!E25=""),"",Data!C25/Data!E25)</f>
        <v>9.5333333333333332</v>
      </c>
      <c r="C25" s="9">
        <f>IF(OR(Data!J25="",Data!C25=""),"",Data!J25/(Data!C25*1000))</f>
        <v>0.11162692307692308</v>
      </c>
      <c r="D25" s="9">
        <f>IF(OR(Data!K25=""),"",Data!K25/(Data!C25*1000))</f>
        <v>8.3836713286713285E-2</v>
      </c>
      <c r="E25" s="9">
        <f>IF(OR(Data!L25=""),"",Data!L25/(Data!C25*1000))</f>
        <v>2.779020979020979E-2</v>
      </c>
      <c r="F25" s="10">
        <f>IF(OR(Data!E25=""),"",Data!M25/(Data!E25*1000))</f>
        <v>5.0736333333333335E-2</v>
      </c>
      <c r="G25" s="11">
        <f>IF(OR(Data!C25=""),"",Data!M25/(Data!C25*1000))</f>
        <v>5.3219930069930074E-3</v>
      </c>
      <c r="H25" s="9">
        <f>IF(OR(Data!J25=""),"",Data!M25/Data!J25)</f>
        <v>4.7676607580821477E-2</v>
      </c>
      <c r="I25" s="9">
        <f>IF(OR(Data!C25="",Data!C21=""),"",Data!C25/Data!C21-1)</f>
        <v>0.23809523809523814</v>
      </c>
      <c r="J25" s="9">
        <f>IF(OR(Data!E25="",Data!E21=""),"",Data!E25/Data!E21-1)</f>
        <v>0.19999999999999996</v>
      </c>
      <c r="K25" s="9">
        <f>IF(OR(Data!J25="",Data!J21=""),"",Data!J25/Data!J21-1)</f>
        <v>0.38805652173913052</v>
      </c>
      <c r="L25" s="12">
        <f>SUM(Data!C22:C25)</f>
        <v>100.6</v>
      </c>
      <c r="M25" s="13">
        <f>SUM(Data!M22:M25)</f>
        <v>155.77500000000001</v>
      </c>
    </row>
    <row r="26" spans="1:13" x14ac:dyDescent="0.35">
      <c r="A26" t="str">
        <f>Data!A26</f>
        <v>2025Q1</v>
      </c>
      <c r="B26" s="8">
        <f>IF(OR(Data!C26="",Data!E26=""),"",Data!C26/Data!E26)</f>
        <v>9.2258064516129039</v>
      </c>
      <c r="C26" s="9">
        <f>IF(OR(Data!J26="",Data!C26=""),"",Data!J26/(Data!C26*1000))</f>
        <v>0.10905353146853147</v>
      </c>
      <c r="D26" s="9">
        <f>IF(OR(Data!K26=""),"",Data!K26/(Data!C26*1000))</f>
        <v>8.2752832167832177E-2</v>
      </c>
      <c r="E26" s="9">
        <f>IF(OR(Data!L26=""),"",Data!L26/(Data!C26*1000))</f>
        <v>2.6300699300699303E-2</v>
      </c>
      <c r="F26" s="10">
        <f>IF(OR(Data!E26=""),"",Data!M26/(Data!E26*1000))</f>
        <v>8.5295806451612888E-2</v>
      </c>
      <c r="G26" s="11">
        <f>IF(OR(Data!C26=""),"",Data!M26/(Data!C26*1000))</f>
        <v>9.2453496503496491E-3</v>
      </c>
      <c r="H26" s="9">
        <f>IF(OR(Data!J26=""),"",Data!M26/Data!J26)</f>
        <v>8.4778085824918845E-2</v>
      </c>
      <c r="I26" s="9">
        <f>IF(OR(Data!C26="",Data!C22=""),"",Data!C26/Data!C22-1)</f>
        <v>0.2118644067796609</v>
      </c>
      <c r="J26" s="9">
        <f>IF(OR(Data!E26="",Data!E22=""),"",Data!E26/Data!E22-1)</f>
        <v>0.19230769230769229</v>
      </c>
      <c r="K26" s="9">
        <f>IF(OR(Data!J26="",Data!J22=""),"",Data!J26/Data!J22-1)</f>
        <v>0.28735687692447409</v>
      </c>
      <c r="L26" s="12">
        <f>SUM(Data!C23:C26)</f>
        <v>105.6</v>
      </c>
      <c r="M26" s="13">
        <f>SUM(Data!M23:M26)</f>
        <v>441.89199999999994</v>
      </c>
    </row>
    <row r="27" spans="1:13" x14ac:dyDescent="0.35">
      <c r="A27" t="str">
        <f>Data!A27</f>
        <v>2025Q2</v>
      </c>
      <c r="B27" s="8">
        <f>IF(OR(Data!C27="",Data!E27=""),"",Data!C27/Data!E27)</f>
        <v>9.0303030303030312</v>
      </c>
      <c r="C27" s="9">
        <f>IF(OR(Data!J27="",Data!C27=""),"",Data!J27/(Data!C27*1000))</f>
        <v>0.11114614093959732</v>
      </c>
      <c r="D27" s="9">
        <f>IF(OR(Data!K27=""),"",Data!K27/(Data!C27*1000))</f>
        <v>8.6213255033557049E-2</v>
      </c>
      <c r="E27" s="9">
        <f>IF(OR(Data!L27=""),"",Data!L27/(Data!C27*1000))</f>
        <v>2.4932885906040269E-2</v>
      </c>
      <c r="F27" s="10">
        <f>IF(OR(Data!E27=""),"",Data!M27/(Data!E27*1000))</f>
        <v>6.899818181818182E-2</v>
      </c>
      <c r="G27" s="11">
        <f>IF(OR(Data!C27=""),"",Data!M27/(Data!C27*1000))</f>
        <v>7.640738255033557E-3</v>
      </c>
      <c r="H27" s="9">
        <f>IF(OR(Data!J27=""),"",Data!M27/Data!J27)</f>
        <v>6.8744971174356267E-2</v>
      </c>
      <c r="I27" s="9">
        <f>IF(OR(Data!C27="",Data!C23=""),"",Data!C27/Data!C23-1)</f>
        <v>0.27896995708154515</v>
      </c>
      <c r="J27" s="9">
        <f>IF(OR(Data!E27="",Data!E23=""),"",Data!E27/Data!E23-1)</f>
        <v>0.31999999999999984</v>
      </c>
      <c r="K27" s="9">
        <f>IF(OR(Data!J27="",Data!J23=""),"",Data!J27/Data!J23-1)</f>
        <v>0.33563792679336912</v>
      </c>
      <c r="L27" s="12">
        <f>SUM(Data!C24:C27)</f>
        <v>112.10000000000001</v>
      </c>
      <c r="M27" s="13">
        <f>SUM(Data!M24:M27)</f>
        <v>678.76599999999996</v>
      </c>
    </row>
    <row r="28" spans="1:13" x14ac:dyDescent="0.35">
      <c r="A28" t="str">
        <f>Data!A28</f>
        <v>2025Q3</v>
      </c>
      <c r="B28" s="8">
        <f>IF(OR(Data!C28="",Data!E28=""),"",Data!C28/Data!E28)</f>
        <v>8.9444444444444446</v>
      </c>
      <c r="C28" s="9">
        <f>IF(OR(Data!J28="",Data!C28=""),"",Data!J28/(Data!C28*1000))</f>
        <v>0.11735031055900619</v>
      </c>
      <c r="D28" s="9">
        <f>IF(OR(Data!K28=""),"",Data!K28/(Data!C28*1000))</f>
        <v>9.4878260869565204E-2</v>
      </c>
      <c r="E28" s="9">
        <f>IF(OR(Data!L28=""),"",Data!L28/(Data!C28*1000))</f>
        <v>2.2472049689440991E-2</v>
      </c>
      <c r="F28" s="10">
        <f>IF(OR(Data!E28=""),"",Data!M28/(Data!E28*1000))</f>
        <v>5.1681944444444447E-2</v>
      </c>
      <c r="G28" s="11">
        <f>IF(OR(Data!C28=""),"",Data!M28/(Data!C28*1000))</f>
        <v>5.7781055900621115E-3</v>
      </c>
      <c r="H28" s="9">
        <f>IF(OR(Data!J28=""),"",Data!M28/Data!J28)</f>
        <v>4.9238093725851362E-2</v>
      </c>
      <c r="I28" s="9">
        <f>IF(OR(Data!C28="",Data!C24=""),"",Data!C28/Data!C24-1)</f>
        <v>0.28286852589641431</v>
      </c>
      <c r="J28" s="9">
        <f>IF(OR(Data!E28="",Data!E24=""),"",Data!E28/Data!E24-1)</f>
        <v>0.28571428571428581</v>
      </c>
      <c r="K28" s="9">
        <f>IF(OR(Data!J28="",Data!J24=""),"",Data!J28/Data!J24-1)</f>
        <v>0.3655429766876761</v>
      </c>
      <c r="L28" s="12">
        <f>SUM(Data!C25:C28)</f>
        <v>119.2</v>
      </c>
      <c r="M28" s="13">
        <f>SUM(Data!M25:M28)</f>
        <v>830.375</v>
      </c>
    </row>
    <row r="29" spans="1:13" x14ac:dyDescent="0.35">
      <c r="A29" t="str">
        <f>Data!A29</f>
        <v>2025Q4</v>
      </c>
      <c r="B29" s="8">
        <f>IF(OR(Data!C29="",Data!E29=""),"",Data!C29/Data!E29)</f>
        <v>9.1750000000000007</v>
      </c>
      <c r="C29" s="9">
        <f>IF(OR(Data!J29="",Data!C29=""),"",Data!J29/(Data!C29*1000))</f>
        <v>0.11815062670299727</v>
      </c>
      <c r="D29" s="9">
        <f>IF(OR(Data!K29=""),"",Data!K29/(Data!C29*1000))</f>
        <v>9.8123378746594006E-2</v>
      </c>
      <c r="E29" s="9">
        <f>IF(OR(Data!L29=""),"",Data!L29/(Data!C29*1000))</f>
        <v>2.0027247956403271E-2</v>
      </c>
      <c r="F29" s="10">
        <f>IF(OR(Data!E29=""),"",Data!M29/(Data!E29*1000))</f>
        <v>5.061425E-2</v>
      </c>
      <c r="G29" s="11">
        <f>IF(OR(Data!C29=""),"",Data!M29/(Data!C29*1000))</f>
        <v>5.5165395095367843E-3</v>
      </c>
      <c r="H29" s="9">
        <f>IF(OR(Data!J29=""),"",Data!M29/Data!J29)</f>
        <v>4.6690734221867994E-2</v>
      </c>
      <c r="I29" s="9">
        <f>IF(OR(Data!C29="",Data!C25=""),"",Data!C29/Data!C25-1)</f>
        <v>0.28321678321678334</v>
      </c>
      <c r="J29" s="9">
        <f>IF(OR(Data!E29="",Data!E25=""),"",Data!E29/Data!E25-1)</f>
        <v>0.33333333333333326</v>
      </c>
      <c r="K29" s="9">
        <f>IF(OR(Data!J29="",Data!J25=""),"",Data!J29/Data!J25-1)</f>
        <v>0.35821057280589352</v>
      </c>
      <c r="L29" s="12">
        <f>SUM(Data!C26:C29)</f>
        <v>127.30000000000001</v>
      </c>
      <c r="M29" s="13">
        <f>SUM(Data!M26:M29)</f>
        <v>880.62299999999993</v>
      </c>
    </row>
    <row r="30" spans="1:13" x14ac:dyDescent="0.35">
      <c r="A30" t="str">
        <f>Data!A30</f>
        <v>2026Q1</v>
      </c>
      <c r="B30" s="8">
        <f>IF(OR(Data!C30="",Data!E30=""),"",Data!C30/Data!E30)</f>
        <v>9.3249999999999993</v>
      </c>
      <c r="C30" s="9">
        <f>IF(OR(Data!J30="",Data!C30=""),"",Data!J30/(Data!C30*1000))</f>
        <v>0.12072680965147452</v>
      </c>
      <c r="D30" s="9">
        <f>IF(OR(Data!K30=""),"",Data!K30/(Data!C30*1000))</f>
        <v>0.10218525469168901</v>
      </c>
      <c r="E30" s="9">
        <f>IF(OR(Data!L30=""),"",Data!L30/(Data!C30*1000))</f>
        <v>1.8541554959785524E-2</v>
      </c>
      <c r="F30" s="10">
        <f>IF(OR(Data!E30=""),"",Data!M30/(Data!E30*1000))</f>
        <v>5.5793500000000003E-2</v>
      </c>
      <c r="G30" s="11">
        <f>IF(OR(Data!C30=""),"",Data!M30/(Data!C30*1000))</f>
        <v>5.9832171581769436E-3</v>
      </c>
      <c r="H30" s="9">
        <f>IF(OR(Data!J30=""),"",Data!M30/Data!J30)</f>
        <v>4.9559970775752762E-2</v>
      </c>
      <c r="I30" s="9">
        <f>IF(OR(Data!C30="",Data!C26=""),"",Data!C30/Data!C26-1)</f>
        <v>0.30419580419580394</v>
      </c>
      <c r="J30" s="9">
        <f>IF(OR(Data!E30="",Data!E26=""),"",Data!E30/Data!E26-1)</f>
        <v>0.29032258064516125</v>
      </c>
      <c r="K30" s="9">
        <f>IF(OR(Data!J30="",Data!J26=""),"",Data!J30/Data!J26-1)</f>
        <v>0.44379917349886866</v>
      </c>
      <c r="L30" s="12">
        <f>SUM(Data!C27:C30)</f>
        <v>136</v>
      </c>
      <c r="M30" s="13">
        <f>SUM(Data!M27:M30)</f>
        <v>839.38</v>
      </c>
    </row>
    <row r="31" spans="1:13" x14ac:dyDescent="0.35">
      <c r="A31" t="str">
        <f>Data!A31</f>
        <v>2026Q2</v>
      </c>
      <c r="B31" s="8">
        <f>IF(OR(Data!C31="",Data!E31=""),"",Data!C31/Data!E31)</f>
        <v>9.1190476190476186</v>
      </c>
      <c r="C31" s="9">
        <f>IF(OR(Data!J31="",Data!C31=""),"",Data!J31/(Data!C31*1000))</f>
        <v>0.12876921671018277</v>
      </c>
      <c r="D31" s="9">
        <f>IF(OR(Data!K31=""),"",Data!K31/(Data!C31*1000))</f>
        <v>0.11110864229765013</v>
      </c>
      <c r="E31" s="9">
        <f>IF(OR(Data!L31=""),"",Data!L31/(Data!C31*1000))</f>
        <v>1.7660574412532635E-2</v>
      </c>
      <c r="F31" s="10">
        <f>IF(OR(Data!E31=""),"",Data!M31/(Data!E31*1000))</f>
        <v>6.0814047619047622E-2</v>
      </c>
      <c r="G31" s="11">
        <f>IF(OR(Data!C31=""),"",Data!M31/(Data!C31*1000))</f>
        <v>6.6689033942558748E-3</v>
      </c>
      <c r="H31" s="9">
        <f>IF(OR(Data!J31=""),"",Data!M31/Data!J31)</f>
        <v>5.1789578011221325E-2</v>
      </c>
      <c r="I31" s="9">
        <f>IF(OR(Data!C31="",Data!C27=""),"",Data!C31/Data!C27-1)</f>
        <v>0.28523489932885893</v>
      </c>
      <c r="J31" s="9">
        <f>IF(OR(Data!E31="",Data!E27=""),"",Data!E31/Data!E27-1)</f>
        <v>0.27272727272727293</v>
      </c>
      <c r="K31" s="9">
        <f>IF(OR(Data!J31="",Data!J27=""),"",Data!J31/Data!J27-1)</f>
        <v>0.48901878082396499</v>
      </c>
      <c r="L31" s="12">
        <f>SUM(Data!C28:C31)</f>
        <v>144.5</v>
      </c>
      <c r="M31" s="13">
        <f>SUM(Data!M28:M31)</f>
        <v>867.10500000000002</v>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3"/>
  <sheetViews>
    <sheetView workbookViewId="0">
      <pane xSplit="1" ySplit="1" topLeftCell="B2" activePane="bottomRight" state="frozen"/>
      <selection pane="topRight"/>
      <selection pane="bottomLeft"/>
      <selection pane="bottomRight"/>
    </sheetView>
  </sheetViews>
  <sheetFormatPr defaultRowHeight="14.5" x14ac:dyDescent="0.35"/>
  <cols>
    <col min="1" max="1" width="14" customWidth="1"/>
    <col min="2" max="2" width="22" customWidth="1"/>
    <col min="3" max="5" width="14" customWidth="1"/>
  </cols>
  <sheetData>
    <row r="1" spans="1:5" ht="42" customHeight="1" x14ac:dyDescent="0.35">
      <c r="A1" s="4" t="s">
        <v>20</v>
      </c>
      <c r="B1" s="4" t="s">
        <v>122</v>
      </c>
      <c r="C1" s="4" t="s">
        <v>123</v>
      </c>
      <c r="D1" s="4" t="s">
        <v>124</v>
      </c>
      <c r="E1" s="4" t="s">
        <v>125</v>
      </c>
    </row>
    <row r="2" spans="1:5" x14ac:dyDescent="0.35">
      <c r="A2" t="str">
        <f>Data!A2</f>
        <v>2019Q1</v>
      </c>
      <c r="B2" s="9"/>
      <c r="C2" s="14"/>
      <c r="D2" s="14"/>
      <c r="E2" s="14"/>
    </row>
    <row r="3" spans="1:5" x14ac:dyDescent="0.35">
      <c r="A3" t="str">
        <f>Data!A3</f>
        <v>2019Q2</v>
      </c>
      <c r="B3" s="9"/>
      <c r="C3" s="14"/>
      <c r="D3" s="14"/>
      <c r="E3" s="14"/>
    </row>
    <row r="4" spans="1:5" x14ac:dyDescent="0.35">
      <c r="A4" t="str">
        <f>Data!A4</f>
        <v>2019Q3</v>
      </c>
      <c r="B4" s="9"/>
      <c r="C4" s="14"/>
      <c r="D4" s="14"/>
      <c r="E4" s="14"/>
    </row>
    <row r="5" spans="1:5" x14ac:dyDescent="0.35">
      <c r="A5" t="str">
        <f>Data!A5</f>
        <v>2019Q4</v>
      </c>
      <c r="B5" s="9"/>
      <c r="C5" s="14"/>
      <c r="D5" s="14"/>
      <c r="E5" s="14"/>
    </row>
    <row r="6" spans="1:5" x14ac:dyDescent="0.35">
      <c r="A6" t="str">
        <f>Data!A6</f>
        <v>2020Q1</v>
      </c>
      <c r="B6" s="9">
        <f>IFERROR(EXP(LN(Data!E6/Data!E2)+LN(Shopee_Metrics!B6/Shopee_Metrics!B2)+LN(Shopee_Metrics!C6/Shopee_Metrics!C2))-1,"")</f>
        <v>1.3205882352941183</v>
      </c>
      <c r="C6" s="14">
        <f>IFERROR(LN(Data!E6/Data!E2)/(LN(Data!E6/Data!E2)+LN(Shopee_Metrics!B6/Shopee_Metrics!B2)+LN(Shopee_Metrics!C6/Shopee_Metrics!C2)),"")</f>
        <v>0.88813921593046763</v>
      </c>
      <c r="D6" s="14">
        <f>IFERROR(LN(Shopee_Metrics!B6/Shopee_Metrics!B2)/(LN(Data!E6/Data!E2)+LN(Shopee_Metrics!B6/Shopee_Metrics!B2)+LN(Shopee_Metrics!C6/Shopee_Metrics!C2)),"")</f>
        <v>-0.20891343619146935</v>
      </c>
      <c r="E6" s="14">
        <f>IFERROR(LN(Shopee_Metrics!C6/Shopee_Metrics!C2)/(LN(Data!E6/Data!E2)+LN(Shopee_Metrics!B6/Shopee_Metrics!B2)+LN(Shopee_Metrics!C6/Shopee_Metrics!C2)),"")</f>
        <v>0.32077422026100166</v>
      </c>
    </row>
    <row r="7" spans="1:5" x14ac:dyDescent="0.35">
      <c r="A7" t="str">
        <f>Data!A7</f>
        <v>2020Q2</v>
      </c>
      <c r="B7" s="9">
        <f>IFERROR(EXP(LN(Data!E7/Data!E3)+LN(Shopee_Metrics!B7/Shopee_Metrics!B3)+LN(Shopee_Metrics!C7/Shopee_Metrics!C3))-1,"")</f>
        <v>1.7481857764876634</v>
      </c>
      <c r="C7" s="14">
        <f>IFERROR(LN(Data!E7/Data!E3)/(LN(Data!E7/Data!E3)+LN(Shopee_Metrics!B7/Shopee_Metrics!B3)+LN(Shopee_Metrics!C7/Shopee_Metrics!C3)),"")</f>
        <v>0.90661505372491946</v>
      </c>
      <c r="D7" s="14">
        <f>IFERROR(LN(Shopee_Metrics!B7/Shopee_Metrics!B3)/(LN(Data!E7/Data!E3)+LN(Shopee_Metrics!B7/Shopee_Metrics!B3)+LN(Shopee_Metrics!C7/Shopee_Metrics!C3)),"")</f>
        <v>-0.17023133560582987</v>
      </c>
      <c r="E7" s="14">
        <f>IFERROR(LN(Shopee_Metrics!C7/Shopee_Metrics!C3)/(LN(Data!E7/Data!E3)+LN(Shopee_Metrics!B7/Shopee_Metrics!B3)+LN(Shopee_Metrics!C7/Shopee_Metrics!C3)),"")</f>
        <v>0.2636162818809103</v>
      </c>
    </row>
    <row r="8" spans="1:5" x14ac:dyDescent="0.35">
      <c r="A8" t="str">
        <f>Data!A8</f>
        <v>2020Q3</v>
      </c>
      <c r="B8" s="9">
        <f>IFERROR(EXP(LN(Data!E8/Data!E4)+LN(Shopee_Metrics!B8/Shopee_Metrics!B4)+LN(Shopee_Metrics!C8/Shopee_Metrics!C4))-1,"")</f>
        <v>1.2445939452186452</v>
      </c>
      <c r="C8" s="14">
        <f>IFERROR(LN(Data!E8/Data!E4)/(LN(Data!E8/Data!E4)+LN(Shopee_Metrics!B8/Shopee_Metrics!B4)+LN(Shopee_Metrics!C8/Shopee_Metrics!C4)),"")</f>
        <v>1.0341349238792112</v>
      </c>
      <c r="D8" s="14">
        <f>IFERROR(LN(Shopee_Metrics!B8/Shopee_Metrics!B4)/(LN(Data!E8/Data!E4)+LN(Shopee_Metrics!B8/Shopee_Metrics!B4)+LN(Shopee_Metrics!C8/Shopee_Metrics!C4)),"")</f>
        <v>-0.16346498141000465</v>
      </c>
      <c r="E8" s="14">
        <f>IFERROR(LN(Shopee_Metrics!C8/Shopee_Metrics!C4)/(LN(Data!E8/Data!E4)+LN(Shopee_Metrics!B8/Shopee_Metrics!B4)+LN(Shopee_Metrics!C8/Shopee_Metrics!C4)),"")</f>
        <v>0.12933005753079355</v>
      </c>
    </row>
    <row r="9" spans="1:5" x14ac:dyDescent="0.35">
      <c r="A9" t="str">
        <f>Data!A9</f>
        <v>2020Q4</v>
      </c>
      <c r="B9" s="9">
        <f>IFERROR(EXP(LN(Data!E9/Data!E5)+LN(Shopee_Metrics!B9/Shopee_Metrics!B5)+LN(Shopee_Metrics!C9/Shopee_Metrics!C5))-1,"")</f>
        <v>1.213756613756614</v>
      </c>
      <c r="C9" s="14">
        <f>IFERROR(LN(Data!E9/Data!E5)/(LN(Data!E9/Data!E5)+LN(Shopee_Metrics!B9/Shopee_Metrics!B5)+LN(Shopee_Metrics!C9/Shopee_Metrics!C5)),"")</f>
        <v>1.0316524776965679</v>
      </c>
      <c r="D9" s="14">
        <f>IFERROR(LN(Shopee_Metrics!B9/Shopee_Metrics!B5)/(LN(Data!E9/Data!E5)+LN(Shopee_Metrics!B9/Shopee_Metrics!B5)+LN(Shopee_Metrics!C9/Shopee_Metrics!C5)),"")</f>
        <v>-8.3143057786988772E-2</v>
      </c>
      <c r="E9" s="14">
        <f>IFERROR(LN(Shopee_Metrics!C9/Shopee_Metrics!C5)/(LN(Data!E9/Data!E5)+LN(Shopee_Metrics!B9/Shopee_Metrics!B5)+LN(Shopee_Metrics!C9/Shopee_Metrics!C5)),"")</f>
        <v>5.1490580090420963E-2</v>
      </c>
    </row>
    <row r="10" spans="1:5" x14ac:dyDescent="0.35">
      <c r="A10" t="str">
        <f>Data!A10</f>
        <v>2021Q1</v>
      </c>
      <c r="B10" s="9">
        <f>IFERROR(EXP(LN(Data!E10/Data!E6)+LN(Shopee_Metrics!B10/Shopee_Metrics!B6)+LN(Shopee_Metrics!C10/Shopee_Metrics!C6))-1,"")</f>
        <v>2.0245035910435143</v>
      </c>
      <c r="C10" s="14">
        <f>IFERROR(LN(Data!E10/Data!E6)/(LN(Data!E10/Data!E6)+LN(Shopee_Metrics!B10/Shopee_Metrics!B6)+LN(Shopee_Metrics!C10/Shopee_Metrics!C6)),"")</f>
        <v>0.84910597910508845</v>
      </c>
      <c r="D10" s="14">
        <f>IFERROR(LN(Shopee_Metrics!B10/Shopee_Metrics!B6)/(LN(Data!E10/Data!E6)+LN(Shopee_Metrics!B10/Shopee_Metrics!B6)+LN(Shopee_Metrics!C10/Shopee_Metrics!C6)),"")</f>
        <v>-0.20835652384579886</v>
      </c>
      <c r="E10" s="14">
        <f>IFERROR(LN(Shopee_Metrics!C10/Shopee_Metrics!C6)/(LN(Data!E10/Data!E6)+LN(Shopee_Metrics!B10/Shopee_Metrics!B6)+LN(Shopee_Metrics!C10/Shopee_Metrics!C6)),"")</f>
        <v>0.35925054474071044</v>
      </c>
    </row>
    <row r="11" spans="1:5" x14ac:dyDescent="0.35">
      <c r="A11" t="str">
        <f>Data!A11</f>
        <v>2021Q2</v>
      </c>
      <c r="B11" s="9">
        <f>IFERROR(EXP(LN(Data!E11/Data!E7)+LN(Shopee_Metrics!B11/Shopee_Metrics!B7)+LN(Shopee_Metrics!C11/Shopee_Metrics!C7))-1,"")</f>
        <v>1.3886981779772909</v>
      </c>
      <c r="C11" s="14">
        <f>IFERROR(LN(Data!E11/Data!E7)/(LN(Data!E11/Data!E7)+LN(Shopee_Metrics!B11/Shopee_Metrics!B7)+LN(Shopee_Metrics!C11/Shopee_Metrics!C7)),"")</f>
        <v>0.94303106124836578</v>
      </c>
      <c r="D11" s="14">
        <f>IFERROR(LN(Shopee_Metrics!B11/Shopee_Metrics!B7)/(LN(Data!E11/Data!E7)+LN(Shopee_Metrics!B11/Shopee_Metrics!B7)+LN(Shopee_Metrics!C11/Shopee_Metrics!C7)),"")</f>
        <v>-0.22111348867487141</v>
      </c>
      <c r="E11" s="14">
        <f>IFERROR(LN(Shopee_Metrics!C11/Shopee_Metrics!C7)/(LN(Data!E11/Data!E7)+LN(Shopee_Metrics!B11/Shopee_Metrics!B7)+LN(Shopee_Metrics!C11/Shopee_Metrics!C7)),"")</f>
        <v>0.27808242742650563</v>
      </c>
    </row>
    <row r="12" spans="1:5" x14ac:dyDescent="0.35">
      <c r="A12" t="str">
        <f>Data!A12</f>
        <v>2021Q3</v>
      </c>
      <c r="B12" s="9">
        <f>IFERROR(EXP(LN(Data!E12/Data!E8)+LN(Shopee_Metrics!B12/Shopee_Metrics!B8)+LN(Shopee_Metrics!C12/Shopee_Metrics!C8))-1,"")</f>
        <v>1.5690430314707764</v>
      </c>
      <c r="C12" s="14">
        <f>IFERROR(LN(Data!E12/Data!E8)/(LN(Data!E12/Data!E8)+LN(Shopee_Metrics!B12/Shopee_Metrics!B8)+LN(Shopee_Metrics!C12/Shopee_Metrics!C8)),"")</f>
        <v>0.87922002100831187</v>
      </c>
      <c r="D12" s="14">
        <f>IFERROR(LN(Shopee_Metrics!B12/Shopee_Metrics!B8)/(LN(Data!E12/Data!E8)+LN(Shopee_Metrics!B12/Shopee_Metrics!B8)+LN(Shopee_Metrics!C12/Shopee_Metrics!C8)),"")</f>
        <v>-0.25246484364769894</v>
      </c>
      <c r="E12" s="14">
        <f>IFERROR(LN(Shopee_Metrics!C12/Shopee_Metrics!C8)/(LN(Data!E12/Data!E8)+LN(Shopee_Metrics!B12/Shopee_Metrics!B8)+LN(Shopee_Metrics!C12/Shopee_Metrics!C8)),"")</f>
        <v>0.37324482263938707</v>
      </c>
    </row>
    <row r="13" spans="1:5" x14ac:dyDescent="0.35">
      <c r="A13" t="str">
        <f>Data!A13</f>
        <v>2021Q4</v>
      </c>
      <c r="B13" s="9">
        <f>IFERROR(EXP(LN(Data!E13/Data!E9)+LN(Shopee_Metrics!B13/Shopee_Metrics!B9)+LN(Shopee_Metrics!C13/Shopee_Metrics!C9))-1,"")</f>
        <v>1.0713830465264493</v>
      </c>
      <c r="C13" s="14">
        <f>IFERROR(LN(Data!E13/Data!E9)/(LN(Data!E13/Data!E9)+LN(Shopee_Metrics!B13/Shopee_Metrics!B9)+LN(Shopee_Metrics!C13/Shopee_Metrics!C9)),"")</f>
        <v>0.95184215004345141</v>
      </c>
      <c r="D13" s="14">
        <f>IFERROR(LN(Shopee_Metrics!B13/Shopee_Metrics!B9)/(LN(Data!E13/Data!E9)+LN(Shopee_Metrics!B13/Shopee_Metrics!B9)+LN(Shopee_Metrics!C13/Shopee_Metrics!C9)),"")</f>
        <v>-0.36838492161683739</v>
      </c>
      <c r="E13" s="14">
        <f>IFERROR(LN(Shopee_Metrics!C13/Shopee_Metrics!C9)/(LN(Data!E13/Data!E9)+LN(Shopee_Metrics!B13/Shopee_Metrics!B9)+LN(Shopee_Metrics!C13/Shopee_Metrics!C9)),"")</f>
        <v>0.41654277157338609</v>
      </c>
    </row>
    <row r="14" spans="1:5" x14ac:dyDescent="0.35">
      <c r="A14" t="str">
        <f>Data!A14</f>
        <v>2022Q1</v>
      </c>
      <c r="B14" s="9">
        <f>IFERROR(EXP(LN(Data!E14/Data!E10)+LN(Shopee_Metrics!B14/Shopee_Metrics!B10)+LN(Shopee_Metrics!C14/Shopee_Metrics!C10))-1,"")</f>
        <v>0.81589607487079174</v>
      </c>
      <c r="C14" s="14">
        <f>IFERROR(LN(Data!E14/Data!E10)/(LN(Data!E14/Data!E10)+LN(Shopee_Metrics!B14/Shopee_Metrics!B10)+LN(Shopee_Metrics!C14/Shopee_Metrics!C10)),"")</f>
        <v>0.9161295647382095</v>
      </c>
      <c r="D14" s="14">
        <f>IFERROR(LN(Shopee_Metrics!B14/Shopee_Metrics!B10)/(LN(Data!E14/Data!E10)+LN(Shopee_Metrics!B14/Shopee_Metrics!B10)+LN(Shopee_Metrics!C14/Shopee_Metrics!C10)),"")</f>
        <v>-0.37508912475575079</v>
      </c>
      <c r="E14" s="14">
        <f>IFERROR(LN(Shopee_Metrics!C14/Shopee_Metrics!C10)/(LN(Data!E14/Data!E10)+LN(Shopee_Metrics!B14/Shopee_Metrics!B10)+LN(Shopee_Metrics!C14/Shopee_Metrics!C10)),"")</f>
        <v>0.45895956001754146</v>
      </c>
    </row>
    <row r="15" spans="1:5" x14ac:dyDescent="0.35">
      <c r="A15" t="str">
        <f>Data!A15</f>
        <v>2022Q2</v>
      </c>
      <c r="B15" s="9">
        <f>IFERROR(EXP(LN(Data!E15/Data!E11)+LN(Shopee_Metrics!B15/Shopee_Metrics!B11)+LN(Shopee_Metrics!C15/Shopee_Metrics!C11))-1,"")</f>
        <v>0.65819146584125554</v>
      </c>
      <c r="C15" s="14">
        <f>IFERROR(LN(Data!E15/Data!E11)/(LN(Data!E15/Data!E11)+LN(Shopee_Metrics!B15/Shopee_Metrics!B11)+LN(Shopee_Metrics!C15/Shopee_Metrics!C11)),"")</f>
        <v>0.70527096657343546</v>
      </c>
      <c r="D15" s="14">
        <f>IFERROR(LN(Shopee_Metrics!B15/Shopee_Metrics!B11)/(LN(Data!E15/Data!E11)+LN(Shopee_Metrics!B15/Shopee_Metrics!B11)+LN(Shopee_Metrics!C15/Shopee_Metrics!C11)),"")</f>
        <v>-0.23784777123647635</v>
      </c>
      <c r="E15" s="14">
        <f>IFERROR(LN(Shopee_Metrics!C15/Shopee_Metrics!C11)/(LN(Data!E15/Data!E11)+LN(Shopee_Metrics!B15/Shopee_Metrics!B11)+LN(Shopee_Metrics!C15/Shopee_Metrics!C11)),"")</f>
        <v>0.53257680466304103</v>
      </c>
    </row>
    <row r="16" spans="1:5" x14ac:dyDescent="0.35">
      <c r="A16" t="str">
        <f>Data!A16</f>
        <v>2022Q3</v>
      </c>
      <c r="B16" s="9">
        <f>IFERROR(EXP(LN(Data!E16/Data!E12)+LN(Shopee_Metrics!B16/Shopee_Metrics!B12)+LN(Shopee_Metrics!C16/Shopee_Metrics!C12))-1,"")</f>
        <v>0.33333333333333348</v>
      </c>
      <c r="C16" s="14">
        <f>IFERROR(LN(Data!E16/Data!E12)/(LN(Data!E16/Data!E12)+LN(Shopee_Metrics!B16/Shopee_Metrics!B12)+LN(Shopee_Metrics!C16/Shopee_Metrics!C12)),"")</f>
        <v>0.56492546828761825</v>
      </c>
      <c r="D16" s="14">
        <f>IFERROR(LN(Shopee_Metrics!B16/Shopee_Metrics!B12)/(LN(Data!E16/Data!E12)+LN(Shopee_Metrics!B16/Shopee_Metrics!B12)+LN(Shopee_Metrics!C16/Shopee_Metrics!C12)),"")</f>
        <v>-0.1189141908039399</v>
      </c>
      <c r="E16" s="14">
        <f>IFERROR(LN(Shopee_Metrics!C16/Shopee_Metrics!C12)/(LN(Data!E16/Data!E12)+LN(Shopee_Metrics!B16/Shopee_Metrics!B12)+LN(Shopee_Metrics!C16/Shopee_Metrics!C12)),"")</f>
        <v>0.55398872251632159</v>
      </c>
    </row>
    <row r="17" spans="1:5" x14ac:dyDescent="0.35">
      <c r="A17" t="str">
        <f>Data!A17</f>
        <v>2022Q4</v>
      </c>
      <c r="B17" s="9">
        <f>IFERROR(EXP(LN(Data!E17/Data!E13)+LN(Shopee_Metrics!B17/Shopee_Metrics!B13)+LN(Shopee_Metrics!C17/Shopee_Metrics!C13))-1,"")</f>
        <v>0.3846153846153848</v>
      </c>
      <c r="C17" s="14">
        <f>IFERROR(LN(Data!E17/Data!E13)/(LN(Data!E17/Data!E13)+LN(Shopee_Metrics!B17/Shopee_Metrics!B13)+LN(Shopee_Metrics!C17/Shopee_Metrics!C13)),"")</f>
        <v>-0.49940916568963195</v>
      </c>
      <c r="D17" s="14">
        <f>IFERROR(LN(Shopee_Metrics!B17/Shopee_Metrics!B13)/(LN(Data!E17/Data!E13)+LN(Shopee_Metrics!B17/Shopee_Metrics!B13)+LN(Shopee_Metrics!C17/Shopee_Metrics!C13)),"")</f>
        <v>0.46545380130221742</v>
      </c>
      <c r="E17" s="14">
        <f>IFERROR(LN(Shopee_Metrics!C17/Shopee_Metrics!C13)/(LN(Data!E17/Data!E13)+LN(Shopee_Metrics!B17/Shopee_Metrics!B13)+LN(Shopee_Metrics!C17/Shopee_Metrics!C13)),"")</f>
        <v>1.0339553643874144</v>
      </c>
    </row>
    <row r="18" spans="1:5" x14ac:dyDescent="0.35">
      <c r="A18" t="str">
        <f>Data!A18</f>
        <v>2023Q1</v>
      </c>
      <c r="B18" s="9">
        <f>IFERROR(EXP(LN(Data!E18/Data!E14)+LN(Shopee_Metrics!B18/Shopee_Metrics!B14)+LN(Shopee_Metrics!C18/Shopee_Metrics!C14))-1,"")</f>
        <v>0.3846153846153848</v>
      </c>
      <c r="C18" s="14">
        <f>IFERROR(LN(Data!E18/Data!E14)/(LN(Data!E18/Data!E14)+LN(Shopee_Metrics!B18/Shopee_Metrics!B14)+LN(Shopee_Metrics!C18/Shopee_Metrics!C14)),"")</f>
        <v>-0.41866149741790809</v>
      </c>
      <c r="D18" s="14">
        <f>IFERROR(LN(Shopee_Metrics!B18/Shopee_Metrics!B14)/(LN(Data!E18/Data!E14)+LN(Shopee_Metrics!B18/Shopee_Metrics!B14)+LN(Shopee_Metrics!C18/Shopee_Metrics!C14)),"")</f>
        <v>0.40361327590778012</v>
      </c>
      <c r="E18" s="14">
        <f>IFERROR(LN(Shopee_Metrics!C18/Shopee_Metrics!C14)/(LN(Data!E18/Data!E14)+LN(Shopee_Metrics!B18/Shopee_Metrics!B14)+LN(Shopee_Metrics!C18/Shopee_Metrics!C14)),"")</f>
        <v>1.015048221510128</v>
      </c>
    </row>
    <row r="19" spans="1:5" x14ac:dyDescent="0.35">
      <c r="A19" t="str">
        <f>Data!A19</f>
        <v>2023Q2</v>
      </c>
      <c r="B19" s="9">
        <f>IFERROR(EXP(LN(Data!E19/Data!E15)+LN(Shopee_Metrics!B19/Shopee_Metrics!B15)+LN(Shopee_Metrics!C19/Shopee_Metrics!C15))-1,"")</f>
        <v>0.26666666666666661</v>
      </c>
      <c r="C19" s="14">
        <f>IFERROR(LN(Data!E19/Data!E15)/(LN(Data!E19/Data!E15)+LN(Shopee_Metrics!B19/Shopee_Metrics!B15)+LN(Shopee_Metrics!C19/Shopee_Metrics!C15)),"")</f>
        <v>-0.48822474762304024</v>
      </c>
      <c r="D19" s="14">
        <f>IFERROR(LN(Shopee_Metrics!B19/Shopee_Metrics!B15)/(LN(Data!E19/Data!E15)+LN(Shopee_Metrics!B19/Shopee_Metrics!B15)+LN(Shopee_Metrics!C19/Shopee_Metrics!C15)),"")</f>
        <v>0.27076897721068627</v>
      </c>
      <c r="E19" s="14">
        <f>IFERROR(LN(Shopee_Metrics!C19/Shopee_Metrics!C15)/(LN(Data!E19/Data!E15)+LN(Shopee_Metrics!B19/Shopee_Metrics!B15)+LN(Shopee_Metrics!C19/Shopee_Metrics!C15)),"")</f>
        <v>1.2174557704123539</v>
      </c>
    </row>
    <row r="20" spans="1:5" x14ac:dyDescent="0.35">
      <c r="A20" t="str">
        <f>Data!A20</f>
        <v>2023Q3</v>
      </c>
      <c r="B20" s="9">
        <f>IFERROR(EXP(LN(Data!E20/Data!E16)+LN(Shopee_Metrics!B20/Shopee_Metrics!B16)+LN(Shopee_Metrics!C20/Shopee_Metrics!C16))-1,"")</f>
        <v>0.1875</v>
      </c>
      <c r="C20" s="14">
        <f>IFERROR(LN(Data!E20/Data!E16)/(LN(Data!E20/Data!E16)+LN(Shopee_Metrics!B20/Shopee_Metrics!B16)+LN(Shopee_Metrics!C20/Shopee_Metrics!C16)),"")</f>
        <v>0.55461179697276008</v>
      </c>
      <c r="D20" s="14">
        <f>IFERROR(LN(Shopee_Metrics!B20/Shopee_Metrics!B16)/(LN(Data!E20/Data!E16)+LN(Shopee_Metrics!B20/Shopee_Metrics!B16)+LN(Shopee_Metrics!C20/Shopee_Metrics!C16)),"")</f>
        <v>-0.25765861851912092</v>
      </c>
      <c r="E20" s="14">
        <f>IFERROR(LN(Shopee_Metrics!C20/Shopee_Metrics!C16)/(LN(Data!E20/Data!E16)+LN(Shopee_Metrics!B20/Shopee_Metrics!B16)+LN(Shopee_Metrics!C20/Shopee_Metrics!C16)),"")</f>
        <v>0.70304682154636089</v>
      </c>
    </row>
    <row r="21" spans="1:5" x14ac:dyDescent="0.35">
      <c r="A21" t="str">
        <f>Data!A21</f>
        <v>2023Q4</v>
      </c>
      <c r="B21" s="9">
        <f>IFERROR(EXP(LN(Data!E21/Data!E17)+LN(Shopee_Metrics!B21/Shopee_Metrics!B17)+LN(Shopee_Metrics!C21/Shopee_Metrics!C17))-1,"")</f>
        <v>0.2777777777777779</v>
      </c>
      <c r="C21" s="14">
        <f>IFERROR(LN(Data!E21/Data!E17)/(LN(Data!E21/Data!E17)+LN(Shopee_Metrics!B21/Shopee_Metrics!B17)+LN(Shopee_Metrics!C21/Shopee_Metrics!C17)),"")</f>
        <v>1.5733461711618766</v>
      </c>
      <c r="D21" s="14">
        <f>IFERROR(LN(Shopee_Metrics!B21/Shopee_Metrics!B17)/(LN(Data!E21/Data!E17)+LN(Shopee_Metrics!B21/Shopee_Metrics!B17)+LN(Shopee_Metrics!C21/Shopee_Metrics!C17)),"")</f>
        <v>-0.55564725596082853</v>
      </c>
      <c r="E21" s="14">
        <f>IFERROR(LN(Shopee_Metrics!C21/Shopee_Metrics!C17)/(LN(Data!E21/Data!E17)+LN(Shopee_Metrics!B21/Shopee_Metrics!B17)+LN(Shopee_Metrics!C21/Shopee_Metrics!C17)),"")</f>
        <v>-1.7698915201047969E-2</v>
      </c>
    </row>
    <row r="22" spans="1:5" x14ac:dyDescent="0.35">
      <c r="A22" t="str">
        <f>Data!A22</f>
        <v>2024Q1</v>
      </c>
      <c r="B22" s="9">
        <f>IFERROR(EXP(LN(Data!E22/Data!E18)+LN(Shopee_Metrics!B22/Shopee_Metrics!B18)+LN(Shopee_Metrics!C22/Shopee_Metrics!C18))-1,"")</f>
        <v>0.34596666666666653</v>
      </c>
      <c r="C22" s="14">
        <f>IFERROR(LN(Data!E22/Data!E18)/(LN(Data!E22/Data!E18)+LN(Shopee_Metrics!B22/Shopee_Metrics!B18)+LN(Shopee_Metrics!C22/Shopee_Metrics!C18)),"")</f>
        <v>1.5142393521800477</v>
      </c>
      <c r="D22" s="14">
        <f>IFERROR(LN(Shopee_Metrics!B22/Shopee_Metrics!B18)/(LN(Data!E22/Data!E18)+LN(Shopee_Metrics!B22/Shopee_Metrics!B18)+LN(Shopee_Metrics!C22/Shopee_Metrics!C18)),"")</f>
        <v>-0.47196220320082938</v>
      </c>
      <c r="E22" s="14">
        <f>IFERROR(LN(Shopee_Metrics!C22/Shopee_Metrics!C18)/(LN(Data!E22/Data!E18)+LN(Shopee_Metrics!B22/Shopee_Metrics!B18)+LN(Shopee_Metrics!C22/Shopee_Metrics!C18)),"")</f>
        <v>-4.2277148979218394E-2</v>
      </c>
    </row>
    <row r="23" spans="1:5" x14ac:dyDescent="0.35">
      <c r="A23" t="str">
        <f>Data!A23</f>
        <v>2024Q2</v>
      </c>
      <c r="B23" s="9">
        <f>IFERROR(EXP(LN(Data!E23/Data!E19)+LN(Shopee_Metrics!B23/Shopee_Metrics!B19)+LN(Shopee_Metrics!C23/Shopee_Metrics!C19))-1,"")</f>
        <v>0.3051736842105266</v>
      </c>
      <c r="C23" s="14">
        <f>IFERROR(LN(Data!E23/Data!E19)/(LN(Data!E23/Data!E19)+LN(Shopee_Metrics!B23/Shopee_Metrics!B19)+LN(Shopee_Metrics!C23/Shopee_Metrics!C19)),"")</f>
        <v>1.2711546547707953</v>
      </c>
      <c r="D23" s="14">
        <f>IFERROR(LN(Shopee_Metrics!B23/Shopee_Metrics!B19)/(LN(Data!E23/Data!E19)+LN(Shopee_Metrics!B23/Shopee_Metrics!B19)+LN(Shopee_Metrics!C23/Shopee_Metrics!C19)),"")</f>
        <v>-0.31214660838898634</v>
      </c>
      <c r="E23" s="14">
        <f>IFERROR(LN(Shopee_Metrics!C23/Shopee_Metrics!C19)/(LN(Data!E23/Data!E19)+LN(Shopee_Metrics!B23/Shopee_Metrics!B19)+LN(Shopee_Metrics!C23/Shopee_Metrics!C19)),"")</f>
        <v>4.0991953618191038E-2</v>
      </c>
    </row>
    <row r="24" spans="1:5" x14ac:dyDescent="0.35">
      <c r="A24" t="str">
        <f>Data!A24</f>
        <v>2024Q3</v>
      </c>
      <c r="B24" s="9">
        <f>IFERROR(EXP(LN(Data!E24/Data!E20)+LN(Shopee_Metrics!B24/Shopee_Metrics!B20)+LN(Shopee_Metrics!C24/Shopee_Metrics!C20))-1,"")</f>
        <v>0.4564015789473681</v>
      </c>
      <c r="C24" s="14">
        <f>IFERROR(LN(Data!E24/Data!E20)/(LN(Data!E24/Data!E20)+LN(Shopee_Metrics!B24/Shopee_Metrics!B20)+LN(Shopee_Metrics!C24/Shopee_Metrics!C20)),"")</f>
        <v>0.64144180898539727</v>
      </c>
      <c r="D24" s="14">
        <f>IFERROR(LN(Shopee_Metrics!B24/Shopee_Metrics!B20)/(LN(Data!E24/Data!E20)+LN(Shopee_Metrics!B24/Shopee_Metrics!B20)+LN(Shopee_Metrics!C24/Shopee_Metrics!C20)),"")</f>
        <v>-5.0573424486515542E-2</v>
      </c>
      <c r="E24" s="14">
        <f>IFERROR(LN(Shopee_Metrics!C24/Shopee_Metrics!C20)/(LN(Data!E24/Data!E20)+LN(Shopee_Metrics!B24/Shopee_Metrics!B20)+LN(Shopee_Metrics!C24/Shopee_Metrics!C20)),"")</f>
        <v>0.40913161550111837</v>
      </c>
    </row>
    <row r="25" spans="1:5" x14ac:dyDescent="0.35">
      <c r="A25" t="str">
        <f>Data!A25</f>
        <v>2024Q4</v>
      </c>
      <c r="B25" s="9">
        <f>IFERROR(EXP(LN(Data!E25/Data!E21)+LN(Shopee_Metrics!B25/Shopee_Metrics!B21)+LN(Shopee_Metrics!C25/Shopee_Metrics!C21))-1,"")</f>
        <v>0.3880565217391303</v>
      </c>
      <c r="C25" s="14">
        <f>IFERROR(LN(Data!E25/Data!E21)/(LN(Data!E25/Data!E21)+LN(Shopee_Metrics!B25/Shopee_Metrics!B21)+LN(Shopee_Metrics!C25/Shopee_Metrics!C21)),"")</f>
        <v>0.55602015422538431</v>
      </c>
      <c r="D25" s="14">
        <f>IFERROR(LN(Shopee_Metrics!B25/Shopee_Metrics!B21)/(LN(Data!E25/Data!E21)+LN(Shopee_Metrics!B25/Shopee_Metrics!B21)+LN(Shopee_Metrics!C25/Shopee_Metrics!C21)),"")</f>
        <v>9.5309871002943303E-2</v>
      </c>
      <c r="E25" s="14">
        <f>IFERROR(LN(Shopee_Metrics!C25/Shopee_Metrics!C21)/(LN(Data!E25/Data!E21)+LN(Shopee_Metrics!B25/Shopee_Metrics!B21)+LN(Shopee_Metrics!C25/Shopee_Metrics!C21)),"")</f>
        <v>0.3486699747716725</v>
      </c>
    </row>
    <row r="26" spans="1:5" x14ac:dyDescent="0.35">
      <c r="A26" t="str">
        <f>Data!A26</f>
        <v>2025Q1</v>
      </c>
      <c r="B26" s="9">
        <f>IFERROR(EXP(LN(Data!E26/Data!E22)+LN(Shopee_Metrics!B26/Shopee_Metrics!B22)+LN(Shopee_Metrics!C26/Shopee_Metrics!C22))-1,"")</f>
        <v>0.28735687692447409</v>
      </c>
      <c r="C26" s="14">
        <f>IFERROR(LN(Data!E26/Data!E22)/(LN(Data!E26/Data!E22)+LN(Shopee_Metrics!B26/Shopee_Metrics!B22)+LN(Shopee_Metrics!C26/Shopee_Metrics!C22)),"")</f>
        <v>0.69634523185512831</v>
      </c>
      <c r="D26" s="14">
        <f>IFERROR(LN(Shopee_Metrics!B26/Shopee_Metrics!B22)/(LN(Data!E26/Data!E22)+LN(Shopee_Metrics!B26/Shopee_Metrics!B22)+LN(Shopee_Metrics!C26/Shopee_Metrics!C22)),"")</f>
        <v>6.4409767135777687E-2</v>
      </c>
      <c r="E26" s="14">
        <f>IFERROR(LN(Shopee_Metrics!C26/Shopee_Metrics!C22)/(LN(Data!E26/Data!E22)+LN(Shopee_Metrics!B26/Shopee_Metrics!B22)+LN(Shopee_Metrics!C26/Shopee_Metrics!C22)),"")</f>
        <v>0.23924500100909393</v>
      </c>
    </row>
    <row r="27" spans="1:5" x14ac:dyDescent="0.35">
      <c r="A27" t="str">
        <f>Data!A27</f>
        <v>2025Q2</v>
      </c>
      <c r="B27" s="9">
        <f>IFERROR(EXP(LN(Data!E27/Data!E23)+LN(Shopee_Metrics!B27/Shopee_Metrics!B23)+LN(Shopee_Metrics!C27/Shopee_Metrics!C23))-1,"")</f>
        <v>0.3356379267933689</v>
      </c>
      <c r="C27" s="14">
        <f>IFERROR(LN(Data!E27/Data!E23)/(LN(Data!E27/Data!E23)+LN(Shopee_Metrics!B27/Shopee_Metrics!B23)+LN(Shopee_Metrics!C27/Shopee_Metrics!C23)),"")</f>
        <v>0.95930573040768818</v>
      </c>
      <c r="D27" s="14">
        <f>IFERROR(LN(Shopee_Metrics!B27/Shopee_Metrics!B23)/(LN(Data!E27/Data!E23)+LN(Shopee_Metrics!B27/Shopee_Metrics!B23)+LN(Shopee_Metrics!C27/Shopee_Metrics!C23)),"")</f>
        <v>-0.10910752905345145</v>
      </c>
      <c r="E27" s="14">
        <f>IFERROR(LN(Shopee_Metrics!C27/Shopee_Metrics!C23)/(LN(Data!E27/Data!E23)+LN(Shopee_Metrics!B27/Shopee_Metrics!B23)+LN(Shopee_Metrics!C27/Shopee_Metrics!C23)),"")</f>
        <v>0.14980179864576337</v>
      </c>
    </row>
    <row r="28" spans="1:5" x14ac:dyDescent="0.35">
      <c r="A28" t="str">
        <f>Data!A28</f>
        <v>2025Q3</v>
      </c>
      <c r="B28" s="9">
        <f>IFERROR(EXP(LN(Data!E28/Data!E24)+LN(Shopee_Metrics!B28/Shopee_Metrics!B24)+LN(Shopee_Metrics!C28/Shopee_Metrics!C24))-1,"")</f>
        <v>0.36554297668767566</v>
      </c>
      <c r="C28" s="14">
        <f>IFERROR(LN(Data!E28/Data!E24)/(LN(Data!E28/Data!E24)+LN(Shopee_Metrics!B28/Shopee_Metrics!B24)+LN(Shopee_Metrics!C28/Shopee_Metrics!C24)),"")</f>
        <v>0.80665288509322997</v>
      </c>
      <c r="D28" s="14">
        <f>IFERROR(LN(Shopee_Metrics!B28/Shopee_Metrics!B24)/(LN(Data!E28/Data!E24)+LN(Shopee_Metrics!B28/Shopee_Metrics!B24)+LN(Shopee_Metrics!C28/Shopee_Metrics!C24)),"")</f>
        <v>-7.1122024912327261E-3</v>
      </c>
      <c r="E28" s="14">
        <f>IFERROR(LN(Shopee_Metrics!C28/Shopee_Metrics!C24)/(LN(Data!E28/Data!E24)+LN(Shopee_Metrics!B28/Shopee_Metrics!B24)+LN(Shopee_Metrics!C28/Shopee_Metrics!C24)),"")</f>
        <v>0.20045931739800277</v>
      </c>
    </row>
    <row r="29" spans="1:5" x14ac:dyDescent="0.35">
      <c r="A29" t="str">
        <f>Data!A29</f>
        <v>2025Q4</v>
      </c>
      <c r="B29" s="9">
        <f>IFERROR(EXP(LN(Data!E29/Data!E25)+LN(Shopee_Metrics!B29/Shopee_Metrics!B25)+LN(Shopee_Metrics!C29/Shopee_Metrics!C25))-1,"")</f>
        <v>0.35821057280589352</v>
      </c>
      <c r="C29" s="14">
        <f>IFERROR(LN(Data!E29/Data!E25)/(LN(Data!E29/Data!E25)+LN(Shopee_Metrics!B29/Shopee_Metrics!B25)+LN(Shopee_Metrics!C29/Shopee_Metrics!C25)),"")</f>
        <v>0.93962138131589756</v>
      </c>
      <c r="D29" s="14">
        <f>IFERROR(LN(Shopee_Metrics!B29/Shopee_Metrics!B25)/(LN(Data!E29/Data!E25)+LN(Shopee_Metrics!B29/Shopee_Metrics!B25)+LN(Shopee_Metrics!C29/Shopee_Metrics!C25)),"")</f>
        <v>-0.12513399651524704</v>
      </c>
      <c r="E29" s="14">
        <f>IFERROR(LN(Shopee_Metrics!C29/Shopee_Metrics!C25)/(LN(Data!E29/Data!E25)+LN(Shopee_Metrics!B29/Shopee_Metrics!B25)+LN(Shopee_Metrics!C29/Shopee_Metrics!C25)),"")</f>
        <v>0.18551261519934945</v>
      </c>
    </row>
    <row r="30" spans="1:5" x14ac:dyDescent="0.35">
      <c r="A30" t="str">
        <f>Data!A30</f>
        <v>2026Q1</v>
      </c>
      <c r="B30" s="9">
        <f>IFERROR(EXP(LN(Data!E30/Data!E26)+LN(Shopee_Metrics!B30/Shopee_Metrics!B26)+LN(Shopee_Metrics!C30/Shopee_Metrics!C26))-1,"")</f>
        <v>0.44379917349886799</v>
      </c>
      <c r="C30" s="14">
        <f>IFERROR(LN(Data!E30/Data!E26)/(LN(Data!E30/Data!E26)+LN(Shopee_Metrics!B30/Shopee_Metrics!B26)+LN(Shopee_Metrics!C30/Shopee_Metrics!C26)),"")</f>
        <v>0.69400367395437756</v>
      </c>
      <c r="D30" s="14">
        <f>IFERROR(LN(Shopee_Metrics!B30/Shopee_Metrics!B26)/(LN(Data!E30/Data!E26)+LN(Shopee_Metrics!B30/Shopee_Metrics!B26)+LN(Shopee_Metrics!C30/Shopee_Metrics!C26)),"")</f>
        <v>2.9117890335412303E-2</v>
      </c>
      <c r="E30" s="14">
        <f>IFERROR(LN(Shopee_Metrics!C30/Shopee_Metrics!C26)/(LN(Data!E30/Data!E26)+LN(Shopee_Metrics!B30/Shopee_Metrics!B26)+LN(Shopee_Metrics!C30/Shopee_Metrics!C26)),"")</f>
        <v>0.27687843571021031</v>
      </c>
    </row>
    <row r="31" spans="1:5" x14ac:dyDescent="0.35">
      <c r="A31" t="str">
        <f>Data!A31</f>
        <v>2026Q2</v>
      </c>
      <c r="B31" s="9">
        <f>IFERROR(EXP(LN(Data!E31/Data!E27)+LN(Shopee_Metrics!B31/Shopee_Metrics!B27)+LN(Shopee_Metrics!C31/Shopee_Metrics!C27))-1,"")</f>
        <v>0.48901878082396499</v>
      </c>
      <c r="C31" s="14">
        <f>IFERROR(LN(Data!E31/Data!E27)/(LN(Data!E31/Data!E27)+LN(Shopee_Metrics!B31/Shopee_Metrics!B27)+LN(Shopee_Metrics!C31/Shopee_Metrics!C27)),"")</f>
        <v>0.60575618400094189</v>
      </c>
      <c r="D31" s="14">
        <f>IFERROR(LN(Shopee_Metrics!B31/Shopee_Metrics!B27)/(LN(Data!E31/Data!E27)+LN(Shopee_Metrics!B31/Shopee_Metrics!B27)+LN(Shopee_Metrics!C31/Shopee_Metrics!C27)),"")</f>
        <v>2.4564228233042346E-2</v>
      </c>
      <c r="E31" s="14">
        <f>IFERROR(LN(Shopee_Metrics!C31/Shopee_Metrics!C27)/(LN(Data!E31/Data!E27)+LN(Shopee_Metrics!B31/Shopee_Metrics!B27)+LN(Shopee_Metrics!C31/Shopee_Metrics!C27)),"")</f>
        <v>0.36967958776601584</v>
      </c>
    </row>
    <row r="33" spans="1:1" x14ac:dyDescent="0.35">
      <c r="A33" s="15" t="s">
        <v>126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3"/>
  <sheetViews>
    <sheetView workbookViewId="0">
      <pane xSplit="1" ySplit="1" topLeftCell="B2" activePane="bottomRight" state="frozen"/>
      <selection pane="topRight"/>
      <selection pane="bottomLeft"/>
      <selection pane="bottomRight"/>
    </sheetView>
  </sheetViews>
  <sheetFormatPr defaultRowHeight="14.5" x14ac:dyDescent="0.35"/>
  <cols>
    <col min="1" max="5" width="14" customWidth="1"/>
    <col min="6" max="6" width="34" customWidth="1"/>
    <col min="7" max="10" width="14" customWidth="1"/>
    <col min="11" max="11" width="20" customWidth="1"/>
  </cols>
  <sheetData>
    <row r="1" spans="1:11" ht="42" customHeight="1" x14ac:dyDescent="0.35">
      <c r="A1" s="4" t="s">
        <v>20</v>
      </c>
      <c r="B1" s="4" t="s">
        <v>33</v>
      </c>
      <c r="C1" s="4" t="s">
        <v>34</v>
      </c>
      <c r="D1" s="4" t="s">
        <v>127</v>
      </c>
      <c r="E1" s="4" t="s">
        <v>128</v>
      </c>
      <c r="F1" s="4" t="s">
        <v>36</v>
      </c>
      <c r="G1" s="4" t="s">
        <v>129</v>
      </c>
      <c r="H1" s="4" t="s">
        <v>37</v>
      </c>
      <c r="I1" s="4" t="s">
        <v>38</v>
      </c>
      <c r="J1" s="4" t="s">
        <v>130</v>
      </c>
      <c r="K1" s="4" t="s">
        <v>131</v>
      </c>
    </row>
    <row r="2" spans="1:11" x14ac:dyDescent="0.35">
      <c r="A2" t="str">
        <f>Data!A2</f>
        <v>2019Q1</v>
      </c>
      <c r="B2" s="13" t="str">
        <f>IF(Data!N2="","",Data!N2)</f>
        <v/>
      </c>
      <c r="C2" s="13">
        <f>Data!O2</f>
        <v>-11.912000000000001</v>
      </c>
      <c r="D2" s="9" t="str">
        <f>IF(OR(Data!N2=""),"",Data!O2/Data!N2)</f>
        <v/>
      </c>
      <c r="E2" s="12" t="str">
        <f>IF(Data!P2="","",Data!P2)</f>
        <v/>
      </c>
      <c r="F2" s="16" t="str">
        <f>IF(Data!Q2="","",Data!Q2)</f>
        <v/>
      </c>
      <c r="G2" s="9"/>
      <c r="H2" s="9" t="str">
        <f>IF(Data!R2="","",Data!R2/100)</f>
        <v/>
      </c>
      <c r="I2" s="16" t="str">
        <f>IF(Data!S2="","",Data!S2)</f>
        <v/>
      </c>
      <c r="J2" s="17" t="str">
        <f>IF(OR(Data!R2="",Data!P2=""),"",Data!R2/100*Data!P2*1000)</f>
        <v/>
      </c>
      <c r="K2" s="9"/>
    </row>
    <row r="3" spans="1:11" x14ac:dyDescent="0.35">
      <c r="A3" t="str">
        <f>Data!A3</f>
        <v>2019Q2</v>
      </c>
      <c r="B3" s="13" t="str">
        <f>IF(Data!N3="","",Data!N3)</f>
        <v/>
      </c>
      <c r="C3" s="13">
        <f>Data!O3</f>
        <v>-18.143999999999998</v>
      </c>
      <c r="D3" s="9" t="str">
        <f>IF(OR(Data!N3=""),"",Data!O3/Data!N3)</f>
        <v/>
      </c>
      <c r="E3" s="12" t="str">
        <f>IF(Data!P3="","",Data!P3)</f>
        <v/>
      </c>
      <c r="F3" s="16" t="str">
        <f>IF(Data!Q3="","",Data!Q3)</f>
        <v/>
      </c>
      <c r="G3" s="9"/>
      <c r="H3" s="9" t="str">
        <f>IF(Data!R3="","",Data!R3/100)</f>
        <v/>
      </c>
      <c r="I3" s="16" t="str">
        <f>IF(Data!S3="","",Data!S3)</f>
        <v/>
      </c>
      <c r="J3" s="17" t="str">
        <f>IF(OR(Data!R3="",Data!P3=""),"",Data!R3/100*Data!P3*1000)</f>
        <v/>
      </c>
      <c r="K3" s="9"/>
    </row>
    <row r="4" spans="1:11" x14ac:dyDescent="0.35">
      <c r="A4" t="str">
        <f>Data!A4</f>
        <v>2019Q3</v>
      </c>
      <c r="B4" s="13" t="str">
        <f>IF(Data!N4="","",Data!N4)</f>
        <v/>
      </c>
      <c r="C4" s="13">
        <f>Data!O4</f>
        <v>-33.628</v>
      </c>
      <c r="D4" s="9" t="str">
        <f>IF(OR(Data!N4=""),"",Data!O4/Data!N4)</f>
        <v/>
      </c>
      <c r="E4" s="12" t="str">
        <f>IF(Data!P4="","",Data!P4)</f>
        <v/>
      </c>
      <c r="F4" s="16" t="str">
        <f>IF(Data!Q4="","",Data!Q4)</f>
        <v/>
      </c>
      <c r="G4" s="9"/>
      <c r="H4" s="9" t="str">
        <f>IF(Data!R4="","",Data!R4/100)</f>
        <v/>
      </c>
      <c r="I4" s="16" t="str">
        <f>IF(Data!S4="","",Data!S4)</f>
        <v/>
      </c>
      <c r="J4" s="17" t="str">
        <f>IF(OR(Data!R4="",Data!P4=""),"",Data!R4/100*Data!P4*1000)</f>
        <v/>
      </c>
      <c r="K4" s="9"/>
    </row>
    <row r="5" spans="1:11" x14ac:dyDescent="0.35">
      <c r="A5" t="str">
        <f>Data!A5</f>
        <v>2019Q4</v>
      </c>
      <c r="B5" s="13" t="str">
        <f>IF(Data!N5="","",Data!N5)</f>
        <v/>
      </c>
      <c r="C5" s="13">
        <f>Data!O5</f>
        <v>-49.761000000000003</v>
      </c>
      <c r="D5" s="9" t="str">
        <f>IF(OR(Data!N5=""),"",Data!O5/Data!N5)</f>
        <v/>
      </c>
      <c r="E5" s="12" t="str">
        <f>IF(Data!P5="","",Data!P5)</f>
        <v/>
      </c>
      <c r="F5" s="16" t="str">
        <f>IF(Data!Q5="","",Data!Q5)</f>
        <v/>
      </c>
      <c r="G5" s="9"/>
      <c r="H5" s="9" t="str">
        <f>IF(Data!R5="","",Data!R5/100)</f>
        <v/>
      </c>
      <c r="I5" s="16" t="str">
        <f>IF(Data!S5="","",Data!S5)</f>
        <v/>
      </c>
      <c r="J5" s="17" t="str">
        <f>IF(OR(Data!R5="",Data!P5=""),"",Data!R5/100*Data!P5*1000)</f>
        <v/>
      </c>
      <c r="K5" s="9"/>
    </row>
    <row r="6" spans="1:11" x14ac:dyDescent="0.35">
      <c r="A6" t="str">
        <f>Data!A6</f>
        <v>2020Q1</v>
      </c>
      <c r="B6" s="13" t="str">
        <f>IF(Data!N6="","",Data!N6)</f>
        <v/>
      </c>
      <c r="C6" s="13">
        <f>Data!O6</f>
        <v>-101.583</v>
      </c>
      <c r="D6" s="9" t="str">
        <f>IF(OR(Data!N6=""),"",Data!O6/Data!N6)</f>
        <v/>
      </c>
      <c r="E6" s="12" t="str">
        <f>IF(Data!P6="","",Data!P6)</f>
        <v/>
      </c>
      <c r="F6" s="16" t="str">
        <f>IF(Data!Q6="","",Data!Q6)</f>
        <v/>
      </c>
      <c r="G6" s="9" t="str">
        <f>IF(OR(Data!P6="",Data!P2="",Data!Q6&lt;&gt;Data!Q2),"",Data!P6/Data!P2-1)</f>
        <v/>
      </c>
      <c r="H6" s="9" t="str">
        <f>IF(Data!R6="","",Data!R6/100)</f>
        <v/>
      </c>
      <c r="I6" s="16" t="str">
        <f>IF(Data!S6="","",Data!S6)</f>
        <v/>
      </c>
      <c r="J6" s="17" t="str">
        <f>IF(OR(Data!R6="",Data!P6=""),"",Data!R6/100*Data!P6*1000)</f>
        <v/>
      </c>
      <c r="K6" s="9" t="str">
        <f>IF(OR(Data!R6="",Data!P2="",Data!Q6&lt;&gt;Data!Q2),"",Data!R6/100*Data!P6/Data!P2)</f>
        <v/>
      </c>
    </row>
    <row r="7" spans="1:11" x14ac:dyDescent="0.35">
      <c r="A7" t="str">
        <f>Data!A7</f>
        <v>2020Q2</v>
      </c>
      <c r="B7" s="13" t="str">
        <f>IF(Data!N7="","",Data!N7)</f>
        <v/>
      </c>
      <c r="C7" s="13">
        <f>Data!O7</f>
        <v>-110.105</v>
      </c>
      <c r="D7" s="9" t="str">
        <f>IF(OR(Data!N7=""),"",Data!O7/Data!N7)</f>
        <v/>
      </c>
      <c r="E7" s="12" t="str">
        <f>IF(Data!P7="","",Data!P7)</f>
        <v/>
      </c>
      <c r="F7" s="16" t="str">
        <f>IF(Data!Q7="","",Data!Q7)</f>
        <v/>
      </c>
      <c r="G7" s="9" t="str">
        <f>IF(OR(Data!P7="",Data!P3="",Data!Q7&lt;&gt;Data!Q3),"",Data!P7/Data!P3-1)</f>
        <v/>
      </c>
      <c r="H7" s="9" t="str">
        <f>IF(Data!R7="","",Data!R7/100)</f>
        <v/>
      </c>
      <c r="I7" s="16" t="str">
        <f>IF(Data!S7="","",Data!S7)</f>
        <v/>
      </c>
      <c r="J7" s="17" t="str">
        <f>IF(OR(Data!R7="",Data!P7=""),"",Data!R7/100*Data!P7*1000)</f>
        <v/>
      </c>
      <c r="K7" s="9" t="str">
        <f>IF(OR(Data!R7="",Data!P3="",Data!Q7&lt;&gt;Data!Q3),"",Data!R7/100*Data!P7/Data!P3)</f>
        <v/>
      </c>
    </row>
    <row r="8" spans="1:11" x14ac:dyDescent="0.35">
      <c r="A8" t="str">
        <f>Data!A8</f>
        <v>2020Q3</v>
      </c>
      <c r="B8" s="13" t="str">
        <f>IF(Data!N8="","",Data!N8)</f>
        <v/>
      </c>
      <c r="C8" s="13">
        <f>Data!O8</f>
        <v>-149.26300000000001</v>
      </c>
      <c r="D8" s="9" t="str">
        <f>IF(OR(Data!N8=""),"",Data!O8/Data!N8)</f>
        <v/>
      </c>
      <c r="E8" s="12" t="str">
        <f>IF(Data!P8="","",Data!P8)</f>
        <v/>
      </c>
      <c r="F8" s="16" t="str">
        <f>IF(Data!Q8="","",Data!Q8)</f>
        <v/>
      </c>
      <c r="G8" s="9" t="str">
        <f>IF(OR(Data!P8="",Data!P4="",Data!Q8&lt;&gt;Data!Q4),"",Data!P8/Data!P4-1)</f>
        <v/>
      </c>
      <c r="H8" s="9" t="str">
        <f>IF(Data!R8="","",Data!R8/100)</f>
        <v/>
      </c>
      <c r="I8" s="16" t="str">
        <f>IF(Data!S8="","",Data!S8)</f>
        <v/>
      </c>
      <c r="J8" s="17" t="str">
        <f>IF(OR(Data!R8="",Data!P8=""),"",Data!R8/100*Data!P8*1000)</f>
        <v/>
      </c>
      <c r="K8" s="9" t="str">
        <f>IF(OR(Data!R8="",Data!P4="",Data!Q8&lt;&gt;Data!Q4),"",Data!R8/100*Data!P8/Data!P4)</f>
        <v/>
      </c>
    </row>
    <row r="9" spans="1:11" x14ac:dyDescent="0.35">
      <c r="A9" t="str">
        <f>Data!A9</f>
        <v>2020Q4</v>
      </c>
      <c r="B9" s="13" t="str">
        <f>IF(Data!N9="","",Data!N9)</f>
        <v/>
      </c>
      <c r="C9" s="13">
        <f>Data!O9</f>
        <v>-171.26300000000001</v>
      </c>
      <c r="D9" s="9" t="str">
        <f>IF(OR(Data!N9=""),"",Data!O9/Data!N9)</f>
        <v/>
      </c>
      <c r="E9" s="12" t="str">
        <f>IF(Data!P9="","",Data!P9)</f>
        <v/>
      </c>
      <c r="F9" s="16" t="str">
        <f>IF(Data!Q9="","",Data!Q9)</f>
        <v/>
      </c>
      <c r="G9" s="9" t="str">
        <f>IF(OR(Data!P9="",Data!P5="",Data!Q9&lt;&gt;Data!Q5),"",Data!P9/Data!P5-1)</f>
        <v/>
      </c>
      <c r="H9" s="9" t="str">
        <f>IF(Data!R9="","",Data!R9/100)</f>
        <v/>
      </c>
      <c r="I9" s="16" t="str">
        <f>IF(Data!S9="","",Data!S9)</f>
        <v/>
      </c>
      <c r="J9" s="17" t="str">
        <f>IF(OR(Data!R9="",Data!P9=""),"",Data!R9/100*Data!P9*1000)</f>
        <v/>
      </c>
      <c r="K9" s="9" t="str">
        <f>IF(OR(Data!R9="",Data!P5="",Data!Q9&lt;&gt;Data!Q5),"",Data!R9/100*Data!P9/Data!P5)</f>
        <v/>
      </c>
    </row>
    <row r="10" spans="1:11" x14ac:dyDescent="0.35">
      <c r="A10" t="str">
        <f>Data!A10</f>
        <v>2021Q1</v>
      </c>
      <c r="B10" s="13" t="str">
        <f>IF(Data!N10="","",Data!N10)</f>
        <v/>
      </c>
      <c r="C10" s="13">
        <f>Data!O10</f>
        <v>-153.08799999999999</v>
      </c>
      <c r="D10" s="9" t="str">
        <f>IF(OR(Data!N10=""),"",Data!O10/Data!N10)</f>
        <v/>
      </c>
      <c r="E10" s="12" t="str">
        <f>IF(Data!P10="","",Data!P10)</f>
        <v/>
      </c>
      <c r="F10" s="16" t="str">
        <f>IF(Data!Q10="","",Data!Q10)</f>
        <v/>
      </c>
      <c r="G10" s="9" t="str">
        <f>IF(OR(Data!P10="",Data!P6="",Data!Q10&lt;&gt;Data!Q6),"",Data!P10/Data!P6-1)</f>
        <v/>
      </c>
      <c r="H10" s="9" t="str">
        <f>IF(Data!R10="","",Data!R10/100)</f>
        <v/>
      </c>
      <c r="I10" s="16" t="str">
        <f>IF(Data!S10="","",Data!S10)</f>
        <v/>
      </c>
      <c r="J10" s="17" t="str">
        <f>IF(OR(Data!R10="",Data!P10=""),"",Data!R10/100*Data!P10*1000)</f>
        <v/>
      </c>
      <c r="K10" s="9" t="str">
        <f>IF(OR(Data!R10="",Data!P6="",Data!Q10&lt;&gt;Data!Q6),"",Data!R10/100*Data!P10/Data!P6)</f>
        <v/>
      </c>
    </row>
    <row r="11" spans="1:11" x14ac:dyDescent="0.35">
      <c r="A11" t="str">
        <f>Data!A11</f>
        <v>2021Q2</v>
      </c>
      <c r="B11" s="13" t="str">
        <f>IF(Data!N11="","",Data!N11)</f>
        <v/>
      </c>
      <c r="C11" s="13">
        <f>Data!O11</f>
        <v>-154.98599999999999</v>
      </c>
      <c r="D11" s="9" t="str">
        <f>IF(OR(Data!N11=""),"",Data!O11/Data!N11)</f>
        <v/>
      </c>
      <c r="E11" s="12" t="str">
        <f>IF(Data!P11="","",Data!P11)</f>
        <v/>
      </c>
      <c r="F11" s="16" t="str">
        <f>IF(Data!Q11="","",Data!Q11)</f>
        <v/>
      </c>
      <c r="G11" s="9" t="str">
        <f>IF(OR(Data!P11="",Data!P7="",Data!Q11&lt;&gt;Data!Q7),"",Data!P11/Data!P7-1)</f>
        <v/>
      </c>
      <c r="H11" s="9" t="str">
        <f>IF(Data!R11="","",Data!R11/100)</f>
        <v/>
      </c>
      <c r="I11" s="16" t="str">
        <f>IF(Data!S11="","",Data!S11)</f>
        <v/>
      </c>
      <c r="J11" s="17" t="str">
        <f>IF(OR(Data!R11="",Data!P11=""),"",Data!R11/100*Data!P11*1000)</f>
        <v/>
      </c>
      <c r="K11" s="9" t="str">
        <f>IF(OR(Data!R11="",Data!P7="",Data!Q11&lt;&gt;Data!Q7),"",Data!R11/100*Data!P11/Data!P7)</f>
        <v/>
      </c>
    </row>
    <row r="12" spans="1:11" x14ac:dyDescent="0.35">
      <c r="A12" t="str">
        <f>Data!A12</f>
        <v>2021Q3</v>
      </c>
      <c r="B12" s="13" t="str">
        <f>IF(Data!N12="","",Data!N12)</f>
        <v/>
      </c>
      <c r="C12" s="13">
        <f>Data!O12</f>
        <v>-159.03700000000001</v>
      </c>
      <c r="D12" s="9" t="str">
        <f>IF(OR(Data!N12=""),"",Data!O12/Data!N12)</f>
        <v/>
      </c>
      <c r="E12" s="12" t="str">
        <f>IF(Data!P12="","",Data!P12)</f>
        <v/>
      </c>
      <c r="F12" s="16" t="str">
        <f>IF(Data!Q12="","",Data!Q12)</f>
        <v/>
      </c>
      <c r="G12" s="9" t="str">
        <f>IF(OR(Data!P12="",Data!P8="",Data!Q12&lt;&gt;Data!Q8),"",Data!P12/Data!P8-1)</f>
        <v/>
      </c>
      <c r="H12" s="9" t="str">
        <f>IF(Data!R12="","",Data!R12/100)</f>
        <v/>
      </c>
      <c r="I12" s="16" t="str">
        <f>IF(Data!S12="","",Data!S12)</f>
        <v/>
      </c>
      <c r="J12" s="17" t="str">
        <f>IF(OR(Data!R12="",Data!P12=""),"",Data!R12/100*Data!P12*1000)</f>
        <v/>
      </c>
      <c r="K12" s="9" t="str">
        <f>IF(OR(Data!R12="",Data!P8="",Data!Q12&lt;&gt;Data!Q8),"",Data!R12/100*Data!P12/Data!P8)</f>
        <v/>
      </c>
    </row>
    <row r="13" spans="1:11" x14ac:dyDescent="0.35">
      <c r="A13" t="str">
        <f>Data!A13</f>
        <v>2021Q4</v>
      </c>
      <c r="B13" s="13">
        <f>IF(Data!N13="","",Data!N13)</f>
        <v>197.5</v>
      </c>
      <c r="C13" s="13">
        <f>Data!O13</f>
        <v>-149.81299999999999</v>
      </c>
      <c r="D13" s="9">
        <f>IF(OR(Data!N13=""),"",Data!O13/Data!N13)</f>
        <v>-0.75854683544303791</v>
      </c>
      <c r="E13" s="12" t="str">
        <f>IF(Data!P13="","",Data!P13)</f>
        <v/>
      </c>
      <c r="F13" s="16" t="str">
        <f>IF(Data!Q13="","",Data!Q13)</f>
        <v/>
      </c>
      <c r="G13" s="9" t="str">
        <f>IF(OR(Data!P13="",Data!P9="",Data!Q13&lt;&gt;Data!Q9),"",Data!P13/Data!P9-1)</f>
        <v/>
      </c>
      <c r="H13" s="9" t="str">
        <f>IF(Data!R13="","",Data!R13/100)</f>
        <v/>
      </c>
      <c r="I13" s="16" t="str">
        <f>IF(Data!S13="","",Data!S13)</f>
        <v/>
      </c>
      <c r="J13" s="17" t="str">
        <f>IF(OR(Data!R13="",Data!P13=""),"",Data!R13/100*Data!P13*1000)</f>
        <v/>
      </c>
      <c r="K13" s="9" t="str">
        <f>IF(OR(Data!R13="",Data!P9="",Data!Q13&lt;&gt;Data!Q9),"",Data!R13/100*Data!P13/Data!P9)</f>
        <v/>
      </c>
    </row>
    <row r="14" spans="1:11" x14ac:dyDescent="0.35">
      <c r="A14" t="str">
        <f>Data!A14</f>
        <v>2022Q1</v>
      </c>
      <c r="B14" s="13">
        <f>IF(Data!N14="","",Data!N14)</f>
        <v>236</v>
      </c>
      <c r="C14" s="13">
        <f>Data!O14</f>
        <v>-124.898</v>
      </c>
      <c r="D14" s="9">
        <f>IF(OR(Data!N14=""),"",Data!O14/Data!N14)</f>
        <v>-0.52922881355932205</v>
      </c>
      <c r="E14" s="12" t="str">
        <f>IF(Data!P14="","",Data!P14)</f>
        <v/>
      </c>
      <c r="F14" s="16" t="str">
        <f>IF(Data!Q14="","",Data!Q14)</f>
        <v/>
      </c>
      <c r="G14" s="9" t="str">
        <f>IF(OR(Data!P14="",Data!P10="",Data!Q14&lt;&gt;Data!Q10),"",Data!P14/Data!P10-1)</f>
        <v/>
      </c>
      <c r="H14" s="9" t="str">
        <f>IF(Data!R14="","",Data!R14/100)</f>
        <v/>
      </c>
      <c r="I14" s="16" t="str">
        <f>IF(Data!S14="","",Data!S14)</f>
        <v/>
      </c>
      <c r="J14" s="17" t="str">
        <f>IF(OR(Data!R14="",Data!P14=""),"",Data!R14/100*Data!P14*1000)</f>
        <v/>
      </c>
      <c r="K14" s="9" t="str">
        <f>IF(OR(Data!R14="",Data!P10="",Data!Q14&lt;&gt;Data!Q10),"",Data!R14/100*Data!P14/Data!P10)</f>
        <v/>
      </c>
    </row>
    <row r="15" spans="1:11" x14ac:dyDescent="0.35">
      <c r="A15" t="str">
        <f>Data!A15</f>
        <v>2022Q2</v>
      </c>
      <c r="B15" s="13">
        <f>IF(Data!N15="","",Data!N15)</f>
        <v>279</v>
      </c>
      <c r="C15" s="13">
        <f>Data!O15</f>
        <v>-111.517</v>
      </c>
      <c r="D15" s="9">
        <f>IF(OR(Data!N15=""),"",Data!O15/Data!N15)</f>
        <v>-0.39970250896057347</v>
      </c>
      <c r="E15" s="12" t="str">
        <f>IF(Data!P15="","",Data!P15)</f>
        <v/>
      </c>
      <c r="F15" s="16" t="str">
        <f>IF(Data!Q15="","",Data!Q15)</f>
        <v/>
      </c>
      <c r="G15" s="9" t="str">
        <f>IF(OR(Data!P15="",Data!P11="",Data!Q15&lt;&gt;Data!Q11),"",Data!P15/Data!P11-1)</f>
        <v/>
      </c>
      <c r="H15" s="9" t="str">
        <f>IF(Data!R15="","",Data!R15/100)</f>
        <v/>
      </c>
      <c r="I15" s="16" t="str">
        <f>IF(Data!S15="","",Data!S15)</f>
        <v/>
      </c>
      <c r="J15" s="17" t="str">
        <f>IF(OR(Data!R15="",Data!P15=""),"",Data!R15/100*Data!P15*1000)</f>
        <v/>
      </c>
      <c r="K15" s="9" t="str">
        <f>IF(OR(Data!R15="",Data!P11="",Data!Q15&lt;&gt;Data!Q11),"",Data!R15/100*Data!P15/Data!P11)</f>
        <v/>
      </c>
    </row>
    <row r="16" spans="1:11" x14ac:dyDescent="0.35">
      <c r="A16" t="str">
        <f>Data!A16</f>
        <v>2022Q3</v>
      </c>
      <c r="B16" s="13">
        <f>IF(Data!N16="","",Data!N16)</f>
        <v>326.89999999999998</v>
      </c>
      <c r="C16" s="13">
        <f>Data!O16</f>
        <v>-67.745999999999995</v>
      </c>
      <c r="D16" s="9">
        <f>IF(OR(Data!N16=""),"",Data!O16/Data!N16)</f>
        <v>-0.20723768736616702</v>
      </c>
      <c r="E16" s="12">
        <f>IF(Data!P16="","",Data!P16)</f>
        <v>2.2000000000000002</v>
      </c>
      <c r="F16" s="16" t="str">
        <f>IF(Data!Q16="","",Data!Q16)</f>
        <v>net loans receivable, on-book</v>
      </c>
      <c r="G16" s="9" t="str">
        <f>IF(OR(Data!P16="",Data!P12="",Data!Q16&lt;&gt;Data!Q12),"",Data!P16/Data!P12-1)</f>
        <v/>
      </c>
      <c r="H16" s="9" t="str">
        <f>IF(Data!R16="","",Data!R16/100)</f>
        <v/>
      </c>
      <c r="I16" s="16" t="str">
        <f>IF(Data!S16="","",Data!S16)</f>
        <v>&lt;4%</v>
      </c>
      <c r="J16" s="17" t="str">
        <f>IF(OR(Data!R16="",Data!P16=""),"",Data!R16/100*Data!P16*1000)</f>
        <v/>
      </c>
      <c r="K16" s="9" t="str">
        <f>IF(OR(Data!R16="",Data!P12="",Data!Q16&lt;&gt;Data!Q12),"",Data!R16/100*Data!P16/Data!P12)</f>
        <v/>
      </c>
    </row>
    <row r="17" spans="1:11" x14ac:dyDescent="0.35">
      <c r="A17" t="str">
        <f>Data!A17</f>
        <v>2022Q4</v>
      </c>
      <c r="B17" s="13">
        <f>IF(Data!N17="","",Data!N17)</f>
        <v>380.2</v>
      </c>
      <c r="C17" s="13">
        <f>Data!O17</f>
        <v>75.600999999999999</v>
      </c>
      <c r="D17" s="9">
        <f>IF(OR(Data!N17=""),"",Data!O17/Data!N17)</f>
        <v>0.1988453445554971</v>
      </c>
      <c r="E17" s="12">
        <f>IF(Data!P17="","",Data!P17)</f>
        <v>2.1</v>
      </c>
      <c r="F17" s="16" t="str">
        <f>IF(Data!Q17="","",Data!Q17)</f>
        <v>net loans receivable, on-book</v>
      </c>
      <c r="G17" s="9" t="str">
        <f>IF(OR(Data!P17="",Data!P13="",Data!Q17&lt;&gt;Data!Q13),"",Data!P17/Data!P13-1)</f>
        <v/>
      </c>
      <c r="H17" s="9" t="str">
        <f>IF(Data!R17="","",Data!R17/100)</f>
        <v/>
      </c>
      <c r="I17" s="16" t="str">
        <f>IF(Data!S17="","",Data!S17)</f>
        <v>&lt;2%</v>
      </c>
      <c r="J17" s="17" t="str">
        <f>IF(OR(Data!R17="",Data!P17=""),"",Data!R17/100*Data!P17*1000)</f>
        <v/>
      </c>
      <c r="K17" s="9" t="str">
        <f>IF(OR(Data!R17="",Data!P13="",Data!Q17&lt;&gt;Data!Q13),"",Data!R17/100*Data!P17/Data!P13)</f>
        <v/>
      </c>
    </row>
    <row r="18" spans="1:11" x14ac:dyDescent="0.35">
      <c r="A18" t="str">
        <f>Data!A18</f>
        <v>2023Q1</v>
      </c>
      <c r="B18" s="13">
        <f>IF(Data!N18="","",Data!N18)</f>
        <v>412.8</v>
      </c>
      <c r="C18" s="13">
        <f>Data!O18</f>
        <v>98.938000000000002</v>
      </c>
      <c r="D18" s="9">
        <f>IF(OR(Data!N18=""),"",Data!O18/Data!N18)</f>
        <v>0.23967538759689921</v>
      </c>
      <c r="E18" s="12">
        <f>IF(Data!P18="","",Data!P18)</f>
        <v>2</v>
      </c>
      <c r="F18" s="16" t="str">
        <f>IF(Data!Q18="","",Data!Q18)</f>
        <v>net loans receivable, on-book</v>
      </c>
      <c r="G18" s="9" t="str">
        <f>IF(OR(Data!P18="",Data!P14="",Data!Q18&lt;&gt;Data!Q14),"",Data!P18/Data!P14-1)</f>
        <v/>
      </c>
      <c r="H18" s="9" t="str">
        <f>IF(Data!R18="","",Data!R18/100)</f>
        <v/>
      </c>
      <c r="I18" s="16" t="str">
        <f>IF(Data!S18="","",Data!S18)</f>
        <v>~2%</v>
      </c>
      <c r="J18" s="17" t="str">
        <f>IF(OR(Data!R18="",Data!P18=""),"",Data!R18/100*Data!P18*1000)</f>
        <v/>
      </c>
      <c r="K18" s="9" t="str">
        <f>IF(OR(Data!R18="",Data!P14="",Data!Q18&lt;&gt;Data!Q14),"",Data!R18/100*Data!P18/Data!P14)</f>
        <v/>
      </c>
    </row>
    <row r="19" spans="1:11" x14ac:dyDescent="0.35">
      <c r="A19" t="str">
        <f>Data!A19</f>
        <v>2023Q2</v>
      </c>
      <c r="B19" s="13">
        <f>IF(Data!N19="","",Data!N19)</f>
        <v>427.9</v>
      </c>
      <c r="C19" s="13">
        <f>Data!O19</f>
        <v>136.96100000000001</v>
      </c>
      <c r="D19" s="9">
        <f>IF(OR(Data!N19=""),"",Data!O19/Data!N19)</f>
        <v>0.32007712082262213</v>
      </c>
      <c r="E19" s="12">
        <f>IF(Data!P19="","",Data!P19)</f>
        <v>2</v>
      </c>
      <c r="F19" s="16" t="str">
        <f>IF(Data!Q19="","",Data!Q19)</f>
        <v>net loans receivable, on-book</v>
      </c>
      <c r="G19" s="9" t="str">
        <f>IF(OR(Data!P19="",Data!P15="",Data!Q19&lt;&gt;Data!Q15),"",Data!P19/Data!P15-1)</f>
        <v/>
      </c>
      <c r="H19" s="9" t="str">
        <f>IF(Data!R19="","",Data!R19/100)</f>
        <v/>
      </c>
      <c r="I19" s="16" t="str">
        <f>IF(Data!S19="","",Data!S19)</f>
        <v>~2%</v>
      </c>
      <c r="J19" s="17" t="str">
        <f>IF(OR(Data!R19="",Data!P19=""),"",Data!R19/100*Data!P19*1000)</f>
        <v/>
      </c>
      <c r="K19" s="9" t="str">
        <f>IF(OR(Data!R19="",Data!P15="",Data!Q19&lt;&gt;Data!Q15),"",Data!R19/100*Data!P19/Data!P15)</f>
        <v/>
      </c>
    </row>
    <row r="20" spans="1:11" x14ac:dyDescent="0.35">
      <c r="A20" t="str">
        <f>Data!A20</f>
        <v>2023Q3</v>
      </c>
      <c r="B20" s="13">
        <f>IF(Data!N20="","",Data!N20)</f>
        <v>446.2</v>
      </c>
      <c r="C20" s="13">
        <f>Data!O20</f>
        <v>165.73099999999999</v>
      </c>
      <c r="D20" s="9">
        <f>IF(OR(Data!N20=""),"",Data!O20/Data!N20)</f>
        <v>0.37142761093679966</v>
      </c>
      <c r="E20" s="12">
        <f>IF(Data!P20="","",Data!P20)</f>
        <v>2.4</v>
      </c>
      <c r="F20" s="16" t="str">
        <f>IF(Data!Q20="","",Data!Q20)</f>
        <v>gross loans receivable, on-book</v>
      </c>
      <c r="G20" s="9" t="str">
        <f>IF(OR(Data!P20="",Data!P16="",Data!Q20&lt;&gt;Data!Q16),"",Data!P20/Data!P16-1)</f>
        <v/>
      </c>
      <c r="H20" s="9">
        <f>IF(Data!R20="","",Data!R20/100)</f>
        <v>1.6E-2</v>
      </c>
      <c r="I20" s="16" t="str">
        <f>IF(Data!S20="","",Data!S20)</f>
        <v/>
      </c>
      <c r="J20" s="17">
        <f>IF(OR(Data!R20="",Data!P20=""),"",Data!R20/100*Data!P20*1000)</f>
        <v>38.4</v>
      </c>
      <c r="K20" s="9" t="str">
        <f>IF(OR(Data!R20="",Data!P16="",Data!Q20&lt;&gt;Data!Q16),"",Data!R20/100*Data!P20/Data!P16)</f>
        <v/>
      </c>
    </row>
    <row r="21" spans="1:11" x14ac:dyDescent="0.35">
      <c r="A21" t="str">
        <f>Data!A21</f>
        <v>2023Q4</v>
      </c>
      <c r="B21" s="13">
        <f>IF(Data!N21="","",Data!N21)</f>
        <v>472.4</v>
      </c>
      <c r="C21" s="13">
        <f>Data!O21</f>
        <v>148.482</v>
      </c>
      <c r="D21" s="9">
        <f>IF(OR(Data!N21=""),"",Data!O21/Data!N21)</f>
        <v>0.31431414055884843</v>
      </c>
      <c r="E21" s="12">
        <f>IF(Data!P21="","",Data!P21)</f>
        <v>3.1</v>
      </c>
      <c r="F21" s="16" t="str">
        <f>IF(Data!Q21="","",Data!Q21)</f>
        <v>principal outstanding, on- and off-book</v>
      </c>
      <c r="G21" s="9" t="str">
        <f>IF(OR(Data!P21="",Data!P17="",Data!Q21&lt;&gt;Data!Q17),"",Data!P21/Data!P17-1)</f>
        <v/>
      </c>
      <c r="H21" s="9">
        <f>IF(Data!R21="","",Data!R21/100)</f>
        <v>1.6E-2</v>
      </c>
      <c r="I21" s="16" t="str">
        <f>IF(Data!S21="","",Data!S21)</f>
        <v/>
      </c>
      <c r="J21" s="17">
        <f>IF(OR(Data!R21="",Data!P21=""),"",Data!R21/100*Data!P21*1000)</f>
        <v>49.600000000000009</v>
      </c>
      <c r="K21" s="9" t="str">
        <f>IF(OR(Data!R21="",Data!P17="",Data!Q21&lt;&gt;Data!Q17),"",Data!R21/100*Data!P21/Data!P17)</f>
        <v/>
      </c>
    </row>
    <row r="22" spans="1:11" x14ac:dyDescent="0.35">
      <c r="A22" t="str">
        <f>Data!A22</f>
        <v>2024Q1</v>
      </c>
      <c r="B22" s="13">
        <f>IF(Data!N22="","",Data!N22)</f>
        <v>499.36399999999998</v>
      </c>
      <c r="C22" s="13">
        <f>Data!O22</f>
        <v>148.65799999999999</v>
      </c>
      <c r="D22" s="9">
        <f>IF(OR(Data!N22=""),"",Data!O22/Data!N22)</f>
        <v>0.29769466761720909</v>
      </c>
      <c r="E22" s="12">
        <f>IF(Data!P22="","",Data!P22)</f>
        <v>3.3</v>
      </c>
      <c r="F22" s="16" t="str">
        <f>IF(Data!Q22="","",Data!Q22)</f>
        <v>principal outstanding, on- and off-book</v>
      </c>
      <c r="G22" s="9" t="str">
        <f>IF(OR(Data!P22="",Data!P18="",Data!Q22&lt;&gt;Data!Q18),"",Data!P22/Data!P18-1)</f>
        <v/>
      </c>
      <c r="H22" s="9">
        <f>IF(Data!R22="","",Data!R22/100)</f>
        <v>1.3999999999999999E-2</v>
      </c>
      <c r="I22" s="16" t="str">
        <f>IF(Data!S22="","",Data!S22)</f>
        <v/>
      </c>
      <c r="J22" s="17">
        <f>IF(OR(Data!R22="",Data!P22=""),"",Data!R22/100*Data!P22*1000)</f>
        <v>46.199999999999989</v>
      </c>
      <c r="K22" s="9" t="str">
        <f>IF(OR(Data!R22="",Data!P18="",Data!Q22&lt;&gt;Data!Q18),"",Data!R22/100*Data!P22/Data!P18)</f>
        <v/>
      </c>
    </row>
    <row r="23" spans="1:11" x14ac:dyDescent="0.35">
      <c r="A23" t="str">
        <f>Data!A23</f>
        <v>2024Q2</v>
      </c>
      <c r="B23" s="13">
        <f>IF(Data!N23="","",Data!N23)</f>
        <v>519.33799999999997</v>
      </c>
      <c r="C23" s="13">
        <f>Data!O23</f>
        <v>164.678</v>
      </c>
      <c r="D23" s="9">
        <f>IF(OR(Data!N23=""),"",Data!O23/Data!N23)</f>
        <v>0.31709214422976945</v>
      </c>
      <c r="E23" s="12">
        <f>IF(Data!P23="","",Data!P23)</f>
        <v>3.5</v>
      </c>
      <c r="F23" s="16" t="str">
        <f>IF(Data!Q23="","",Data!Q23)</f>
        <v>principal outstanding, on- and off-book</v>
      </c>
      <c r="G23" s="9" t="str">
        <f>IF(OR(Data!P23="",Data!P19="",Data!Q23&lt;&gt;Data!Q19),"",Data!P23/Data!P19-1)</f>
        <v/>
      </c>
      <c r="H23" s="9">
        <f>IF(Data!R23="","",Data!R23/100)</f>
        <v>1.3000000000000001E-2</v>
      </c>
      <c r="I23" s="16" t="str">
        <f>IF(Data!S23="","",Data!S23)</f>
        <v/>
      </c>
      <c r="J23" s="17">
        <f>IF(OR(Data!R23="",Data!P23=""),"",Data!R23/100*Data!P23*1000)</f>
        <v>45.500000000000007</v>
      </c>
      <c r="K23" s="9" t="str">
        <f>IF(OR(Data!R23="",Data!P19="",Data!Q23&lt;&gt;Data!Q19),"",Data!R23/100*Data!P23/Data!P19)</f>
        <v/>
      </c>
    </row>
    <row r="24" spans="1:11" x14ac:dyDescent="0.35">
      <c r="A24" t="str">
        <f>Data!A24</f>
        <v>2024Q3</v>
      </c>
      <c r="B24" s="13">
        <f>IF(Data!N24="","",Data!N24)</f>
        <v>615.71100000000001</v>
      </c>
      <c r="C24" s="13">
        <f>Data!O24</f>
        <v>187.92699999999999</v>
      </c>
      <c r="D24" s="9">
        <f>IF(OR(Data!N24=""),"",Data!O24/Data!N24)</f>
        <v>0.30521949421075795</v>
      </c>
      <c r="E24" s="12">
        <f>IF(Data!P24="","",Data!P24)</f>
        <v>4.5999999999999996</v>
      </c>
      <c r="F24" s="16" t="str">
        <f>IF(Data!Q24="","",Data!Q24)</f>
        <v>principal outstanding, on- and off-book</v>
      </c>
      <c r="G24" s="9" t="str">
        <f>IF(OR(Data!P24="",Data!P20="",Data!Q24&lt;&gt;Data!Q20),"",Data!P24/Data!P20-1)</f>
        <v/>
      </c>
      <c r="H24" s="9">
        <f>IF(Data!R24="","",Data!R24/100)</f>
        <v>1.2E-2</v>
      </c>
      <c r="I24" s="16" t="str">
        <f>IF(Data!S24="","",Data!S24)</f>
        <v/>
      </c>
      <c r="J24" s="17">
        <f>IF(OR(Data!R24="",Data!P24=""),"",Data!R24/100*Data!P24*1000)</f>
        <v>55.199999999999996</v>
      </c>
      <c r="K24" s="9" t="str">
        <f>IF(OR(Data!R24="",Data!P20="",Data!Q24&lt;&gt;Data!Q20),"",Data!R24/100*Data!P24/Data!P20)</f>
        <v/>
      </c>
    </row>
    <row r="25" spans="1:11" x14ac:dyDescent="0.35">
      <c r="A25" t="str">
        <f>Data!A25</f>
        <v>2024Q4</v>
      </c>
      <c r="B25" s="13">
        <f>IF(Data!N25="","",Data!N25)</f>
        <v>733.32600000000002</v>
      </c>
      <c r="C25" s="13">
        <f>Data!O25</f>
        <v>210.97900000000001</v>
      </c>
      <c r="D25" s="9">
        <f>IF(OR(Data!N25=""),"",Data!O25/Data!N25)</f>
        <v>0.28770151337877015</v>
      </c>
      <c r="E25" s="12">
        <f>IF(Data!P25="","",Data!P25)</f>
        <v>5.0999999999999996</v>
      </c>
      <c r="F25" s="16" t="str">
        <f>IF(Data!Q25="","",Data!Q25)</f>
        <v>principal outstanding, on- and off-book</v>
      </c>
      <c r="G25" s="9">
        <f>IF(OR(Data!P25="",Data!P21="",Data!Q25&lt;&gt;Data!Q21),"",Data!P25/Data!P21-1)</f>
        <v>0.64516129032258052</v>
      </c>
      <c r="H25" s="9">
        <f>IF(Data!R25="","",Data!R25/100)</f>
        <v>1.2E-2</v>
      </c>
      <c r="I25" s="16" t="str">
        <f>IF(Data!S25="","",Data!S25)</f>
        <v/>
      </c>
      <c r="J25" s="17">
        <f>IF(OR(Data!R25="",Data!P25=""),"",Data!R25/100*Data!P25*1000)</f>
        <v>61.199999999999996</v>
      </c>
      <c r="K25" s="9">
        <f>IF(OR(Data!R25="",Data!P21="",Data!Q25&lt;&gt;Data!Q21),"",Data!R25/100*Data!P25/Data!P21)</f>
        <v>1.9741935483870966E-2</v>
      </c>
    </row>
    <row r="26" spans="1:11" x14ac:dyDescent="0.35">
      <c r="A26" t="str">
        <f>Data!A26</f>
        <v>2025Q1</v>
      </c>
      <c r="B26" s="13">
        <f>IF(Data!N26="","",Data!N26)</f>
        <v>787.11699999999996</v>
      </c>
      <c r="C26" s="13">
        <f>Data!O26</f>
        <v>241.43899999999999</v>
      </c>
      <c r="D26" s="9">
        <f>IF(OR(Data!N26=""),"",Data!O26/Data!N26)</f>
        <v>0.30673838832092309</v>
      </c>
      <c r="E26" s="12">
        <f>IF(Data!P26="","",Data!P26)</f>
        <v>5.8</v>
      </c>
      <c r="F26" s="16" t="str">
        <f>IF(Data!Q26="","",Data!Q26)</f>
        <v>principal outstanding, on- and off-book</v>
      </c>
      <c r="G26" s="9">
        <f>IF(OR(Data!P26="",Data!P22="",Data!Q26&lt;&gt;Data!Q22),"",Data!P26/Data!P22-1)</f>
        <v>0.75757575757575757</v>
      </c>
      <c r="H26" s="9">
        <f>IF(Data!R26="","",Data!R26/100)</f>
        <v>1.1000000000000001E-2</v>
      </c>
      <c r="I26" s="16" t="str">
        <f>IF(Data!S26="","",Data!S26)</f>
        <v/>
      </c>
      <c r="J26" s="17">
        <f>IF(OR(Data!R26="",Data!P26=""),"",Data!R26/100*Data!P26*1000)</f>
        <v>63.800000000000011</v>
      </c>
      <c r="K26" s="9">
        <f>IF(OR(Data!R26="",Data!P22="",Data!Q26&lt;&gt;Data!Q22),"",Data!R26/100*Data!P26/Data!P22)</f>
        <v>1.9333333333333338E-2</v>
      </c>
    </row>
    <row r="27" spans="1:11" x14ac:dyDescent="0.35">
      <c r="A27" t="str">
        <f>Data!A27</f>
        <v>2025Q2</v>
      </c>
      <c r="B27" s="13">
        <f>IF(Data!N27="","",Data!N27)</f>
        <v>882.80799999999999</v>
      </c>
      <c r="C27" s="13">
        <f>Data!O27</f>
        <v>255.26300000000001</v>
      </c>
      <c r="D27" s="9">
        <f>IF(OR(Data!N27=""),"",Data!O27/Data!N27)</f>
        <v>0.28914894291850551</v>
      </c>
      <c r="E27" s="12">
        <f>IF(Data!P27="","",Data!P27)</f>
        <v>6.9</v>
      </c>
      <c r="F27" s="16" t="str">
        <f>IF(Data!Q27="","",Data!Q27)</f>
        <v>principal outstanding, on- and off-book</v>
      </c>
      <c r="G27" s="9">
        <f>IF(OR(Data!P27="",Data!P23="",Data!Q27&lt;&gt;Data!Q23),"",Data!P27/Data!P23-1)</f>
        <v>0.97142857142857153</v>
      </c>
      <c r="H27" s="9">
        <f>IF(Data!R27="","",Data!R27/100)</f>
        <v>0.01</v>
      </c>
      <c r="I27" s="16" t="str">
        <f>IF(Data!S27="","",Data!S27)</f>
        <v/>
      </c>
      <c r="J27" s="17">
        <f>IF(OR(Data!R27="",Data!P27=""),"",Data!R27/100*Data!P27*1000)</f>
        <v>69</v>
      </c>
      <c r="K27" s="9">
        <f>IF(OR(Data!R27="",Data!P23="",Data!Q27&lt;&gt;Data!Q23),"",Data!R27/100*Data!P27/Data!P23)</f>
        <v>1.9714285714285715E-2</v>
      </c>
    </row>
    <row r="28" spans="1:11" x14ac:dyDescent="0.35">
      <c r="A28" t="str">
        <f>Data!A28</f>
        <v>2025Q3</v>
      </c>
      <c r="B28" s="13">
        <f>IF(Data!N28="","",Data!N28)</f>
        <v>989.86099999999999</v>
      </c>
      <c r="C28" s="13">
        <f>Data!O28</f>
        <v>258.31200000000001</v>
      </c>
      <c r="D28" s="9">
        <f>IF(OR(Data!N28=""),"",Data!O28/Data!N28)</f>
        <v>0.26095785165796009</v>
      </c>
      <c r="E28" s="12">
        <f>IF(Data!P28="","",Data!P28)</f>
        <v>7.9</v>
      </c>
      <c r="F28" s="16" t="str">
        <f>IF(Data!Q28="","",Data!Q28)</f>
        <v>principal outstanding, on- and off-book</v>
      </c>
      <c r="G28" s="9">
        <f>IF(OR(Data!P28="",Data!P24="",Data!Q28&lt;&gt;Data!Q24),"",Data!P28/Data!P24-1)</f>
        <v>0.71739130434782639</v>
      </c>
      <c r="H28" s="9">
        <f>IF(Data!R28="","",Data!R28/100)</f>
        <v>1.1000000000000001E-2</v>
      </c>
      <c r="I28" s="16" t="str">
        <f>IF(Data!S28="","",Data!S28)</f>
        <v/>
      </c>
      <c r="J28" s="17">
        <f>IF(OR(Data!R28="",Data!P28=""),"",Data!R28/100*Data!P28*1000)</f>
        <v>86.90000000000002</v>
      </c>
      <c r="K28" s="9">
        <f>IF(OR(Data!R28="",Data!P24="",Data!Q28&lt;&gt;Data!Q24),"",Data!R28/100*Data!P28/Data!P24)</f>
        <v>1.8891304347826092E-2</v>
      </c>
    </row>
    <row r="29" spans="1:11" x14ac:dyDescent="0.35">
      <c r="A29" t="str">
        <f>Data!A29</f>
        <v>2025Q4</v>
      </c>
      <c r="B29" s="13">
        <f>IF(Data!N29="","",Data!N29)</f>
        <v>1131.855</v>
      </c>
      <c r="C29" s="13">
        <f>Data!O29</f>
        <v>263.07</v>
      </c>
      <c r="D29" s="9">
        <f>IF(OR(Data!N29=""),"",Data!O29/Data!N29)</f>
        <v>0.23242376452814184</v>
      </c>
      <c r="E29" s="12">
        <f>IF(Data!P29="","",Data!P29)</f>
        <v>9.1999999999999993</v>
      </c>
      <c r="F29" s="16" t="str">
        <f>IF(Data!Q29="","",Data!Q29)</f>
        <v>principal outstanding, on- and off-book</v>
      </c>
      <c r="G29" s="9">
        <f>IF(OR(Data!P29="",Data!P25="",Data!Q29&lt;&gt;Data!Q25),"",Data!P29/Data!P25-1)</f>
        <v>0.80392156862745101</v>
      </c>
      <c r="H29" s="9">
        <f>IF(Data!R29="","",Data!R29/100)</f>
        <v>1.1000000000000001E-2</v>
      </c>
      <c r="I29" s="16" t="str">
        <f>IF(Data!S29="","",Data!S29)</f>
        <v/>
      </c>
      <c r="J29" s="17">
        <f>IF(OR(Data!R29="",Data!P29=""),"",Data!R29/100*Data!P29*1000)</f>
        <v>101.2</v>
      </c>
      <c r="K29" s="9">
        <f>IF(OR(Data!R29="",Data!P25="",Data!Q29&lt;&gt;Data!Q25),"",Data!R29/100*Data!P29/Data!P25)</f>
        <v>1.9843137254901961E-2</v>
      </c>
    </row>
    <row r="30" spans="1:11" x14ac:dyDescent="0.35">
      <c r="A30" t="str">
        <f>Data!A30</f>
        <v>2026Q1</v>
      </c>
      <c r="B30" s="13">
        <f>IF(Data!N30="","",Data!N30)</f>
        <v>1241.7819999999999</v>
      </c>
      <c r="C30" s="13">
        <f>Data!O30</f>
        <v>275.24299999999999</v>
      </c>
      <c r="D30" s="9">
        <f>IF(OR(Data!N30=""),"",Data!O30/Data!N30)</f>
        <v>0.22165162645295231</v>
      </c>
      <c r="E30" s="12">
        <f>IF(Data!P30="","",Data!P30)</f>
        <v>9.9</v>
      </c>
      <c r="F30" s="16" t="str">
        <f>IF(Data!Q30="","",Data!Q30)</f>
        <v>principal outstanding, on- and off-book</v>
      </c>
      <c r="G30" s="9">
        <f>IF(OR(Data!P30="",Data!P26="",Data!Q30&lt;&gt;Data!Q26),"",Data!P30/Data!P26-1)</f>
        <v>0.70689655172413812</v>
      </c>
      <c r="H30" s="9">
        <f>IF(Data!R30="","",Data!R30/100)</f>
        <v>1.1000000000000001E-2</v>
      </c>
      <c r="I30" s="16" t="str">
        <f>IF(Data!S30="","",Data!S30)</f>
        <v/>
      </c>
      <c r="J30" s="17">
        <f>IF(OR(Data!R30="",Data!P30=""),"",Data!R30/100*Data!P30*1000)</f>
        <v>108.9</v>
      </c>
      <c r="K30" s="9">
        <f>IF(OR(Data!R30="",Data!P26="",Data!Q30&lt;&gt;Data!Q26),"",Data!R30/100*Data!P30/Data!P26)</f>
        <v>1.8775862068965518E-2</v>
      </c>
    </row>
    <row r="31" spans="1:11" x14ac:dyDescent="0.35">
      <c r="A31" t="str">
        <f>Data!A31</f>
        <v>2026Q2</v>
      </c>
      <c r="B31" s="13">
        <f>IF(Data!N31="","",Data!N31)</f>
        <v>1402.83</v>
      </c>
      <c r="C31" s="13">
        <f>Data!O31</f>
        <v>287.98500000000001</v>
      </c>
      <c r="D31" s="9">
        <f>IF(OR(Data!N31=""),"",Data!O31/Data!N31)</f>
        <v>0.20528859519685211</v>
      </c>
      <c r="E31" s="12">
        <f>IF(Data!P31="","",Data!P31)</f>
        <v>11.1</v>
      </c>
      <c r="F31" s="16" t="str">
        <f>IF(Data!Q31="","",Data!Q31)</f>
        <v>principal outstanding, on- and off-book</v>
      </c>
      <c r="G31" s="9">
        <f>IF(OR(Data!P31="",Data!P27="",Data!Q31&lt;&gt;Data!Q27),"",Data!P31/Data!P27-1)</f>
        <v>0.60869565217391286</v>
      </c>
      <c r="H31" s="9">
        <f>IF(Data!R31="","",Data!R31/100)</f>
        <v>0.01</v>
      </c>
      <c r="I31" s="16" t="str">
        <f>IF(Data!S31="","",Data!S31)</f>
        <v/>
      </c>
      <c r="J31" s="17">
        <f>IF(OR(Data!R31="",Data!P31=""),"",Data!R31/100*Data!P31*1000)</f>
        <v>111</v>
      </c>
      <c r="K31" s="9">
        <f>IF(OR(Data!R31="",Data!P27="",Data!Q31&lt;&gt;Data!Q27),"",Data!R31/100*Data!P31/Data!P27)</f>
        <v>1.6086956521739131E-2</v>
      </c>
    </row>
    <row r="33" spans="1:1" x14ac:dyDescent="0.35">
      <c r="A33" s="15" t="s">
        <v>132</v>
      </c>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5"/>
  <sheetViews>
    <sheetView workbookViewId="0"/>
  </sheetViews>
  <sheetFormatPr defaultRowHeight="14.5" x14ac:dyDescent="0.35"/>
  <cols>
    <col min="1" max="1" width="46" customWidth="1"/>
    <col min="2" max="5" width="16" customWidth="1"/>
  </cols>
  <sheetData>
    <row r="1" spans="1:2" ht="18.5" x14ac:dyDescent="0.45">
      <c r="A1" s="18" t="s">
        <v>133</v>
      </c>
    </row>
    <row r="2" spans="1:2" x14ac:dyDescent="0.35">
      <c r="A2" t="s">
        <v>134</v>
      </c>
    </row>
    <row r="3" spans="1:2" x14ac:dyDescent="0.35">
      <c r="A3" s="15" t="s">
        <v>135</v>
      </c>
    </row>
    <row r="4" spans="1:2" x14ac:dyDescent="0.35">
      <c r="A4" s="19" t="s">
        <v>136</v>
      </c>
    </row>
    <row r="5" spans="1:2" x14ac:dyDescent="0.35">
      <c r="A5" t="s">
        <v>137</v>
      </c>
      <c r="B5" s="20">
        <f>Data!M30</f>
        <v>223.17400000000001</v>
      </c>
    </row>
    <row r="6" spans="1:2" x14ac:dyDescent="0.35">
      <c r="A6" t="s">
        <v>138</v>
      </c>
      <c r="B6" s="20">
        <f>Data!M31</f>
        <v>255.41900000000001</v>
      </c>
    </row>
    <row r="7" spans="1:2" x14ac:dyDescent="0.35">
      <c r="A7" t="s">
        <v>139</v>
      </c>
      <c r="B7" s="20">
        <f>B5+B6</f>
        <v>478.59300000000002</v>
      </c>
    </row>
    <row r="8" spans="1:2" x14ac:dyDescent="0.35">
      <c r="A8" t="s">
        <v>140</v>
      </c>
      <c r="B8" s="20">
        <f>1000-B7</f>
        <v>521.40699999999993</v>
      </c>
    </row>
    <row r="9" spans="1:2" x14ac:dyDescent="0.35">
      <c r="A9" t="s">
        <v>141</v>
      </c>
      <c r="B9" s="21">
        <f>Data!C28</f>
        <v>32.200000000000003</v>
      </c>
    </row>
    <row r="10" spans="1:2" x14ac:dyDescent="0.35">
      <c r="A10" t="s">
        <v>142</v>
      </c>
      <c r="B10" s="21">
        <f>Data!C29</f>
        <v>36.700000000000003</v>
      </c>
    </row>
    <row r="11" spans="1:2" x14ac:dyDescent="0.35">
      <c r="A11" t="s">
        <v>143</v>
      </c>
      <c r="B11" s="22">
        <f>(Data!C30+Data!C31)/(Data!C26+Data!C27)-1</f>
        <v>0.29452054794520532</v>
      </c>
    </row>
    <row r="12" spans="1:2" x14ac:dyDescent="0.35">
      <c r="A12" t="s">
        <v>144</v>
      </c>
      <c r="B12" s="23">
        <f>(Data!M28+Data!M29)/((Data!C28+Data!C29)*1000)</f>
        <v>5.6387808417997102E-3</v>
      </c>
    </row>
    <row r="13" spans="1:2" x14ac:dyDescent="0.35">
      <c r="A13" t="s">
        <v>145</v>
      </c>
      <c r="B13" s="23">
        <f>B7/((Data!C30+Data!C31)*1000)</f>
        <v>6.3305952380952385E-3</v>
      </c>
    </row>
    <row r="14" spans="1:2" x14ac:dyDescent="0.35">
      <c r="A14" t="s">
        <v>146</v>
      </c>
      <c r="B14" s="23">
        <f>Data!M31/(Data!C31*1000)</f>
        <v>6.6689033942558748E-3</v>
      </c>
    </row>
    <row r="15" spans="1:2" x14ac:dyDescent="0.35">
      <c r="A15" t="s">
        <v>147</v>
      </c>
      <c r="B15" s="24">
        <f>(Data!M28+Data!M29)/(Data!M26+Data!M27)</f>
        <v>0.78948042209989211</v>
      </c>
    </row>
    <row r="17" spans="1:4" x14ac:dyDescent="0.35">
      <c r="A17" s="19" t="s">
        <v>148</v>
      </c>
    </row>
    <row r="18" spans="1:4" x14ac:dyDescent="0.35">
      <c r="B18" s="25" t="s">
        <v>149</v>
      </c>
      <c r="C18" s="25" t="s">
        <v>150</v>
      </c>
      <c r="D18" s="25" t="s">
        <v>151</v>
      </c>
    </row>
    <row r="19" spans="1:4" x14ac:dyDescent="0.35">
      <c r="A19" t="s">
        <v>152</v>
      </c>
      <c r="B19" s="26">
        <f>B11-0.05</f>
        <v>0.24452054794520534</v>
      </c>
      <c r="C19" s="26">
        <f>B11</f>
        <v>0.29452054794520532</v>
      </c>
      <c r="D19" s="26">
        <f>B11+0.03</f>
        <v>0.32452054794520535</v>
      </c>
    </row>
    <row r="20" spans="1:4" x14ac:dyDescent="0.35">
      <c r="A20" t="s">
        <v>153</v>
      </c>
      <c r="B20" s="27">
        <f>B12</f>
        <v>5.6387808417997102E-3</v>
      </c>
      <c r="C20" s="27">
        <f>B13</f>
        <v>6.3305952380952385E-3</v>
      </c>
      <c r="D20" s="27">
        <f>B14</f>
        <v>6.6689033942558748E-3</v>
      </c>
    </row>
    <row r="21" spans="1:4" x14ac:dyDescent="0.35">
      <c r="A21" s="15" t="s">
        <v>154</v>
      </c>
    </row>
    <row r="23" spans="1:4" x14ac:dyDescent="0.35">
      <c r="A23" s="28" t="s">
        <v>155</v>
      </c>
      <c r="B23" s="29">
        <f>($B$9+$B$10)*(1+B19)</f>
        <v>85.747465753424649</v>
      </c>
      <c r="C23" s="29">
        <f>($B$9+$B$10)*(1+C19)</f>
        <v>89.192465753424656</v>
      </c>
      <c r="D23" s="29">
        <f>($B$9+$B$10)*(1+D19)</f>
        <v>91.259465753424649</v>
      </c>
    </row>
    <row r="24" spans="1:4" x14ac:dyDescent="0.35">
      <c r="A24" s="28" t="s">
        <v>156</v>
      </c>
      <c r="B24" s="30">
        <f>B23*1000*B20</f>
        <v>483.51116712328769</v>
      </c>
      <c r="C24" s="30">
        <f>C23*1000*C20</f>
        <v>564.6413989726027</v>
      </c>
      <c r="D24" s="30">
        <f>D23*1000*D20</f>
        <v>608.60056092099137</v>
      </c>
    </row>
    <row r="25" spans="1:4" x14ac:dyDescent="0.35">
      <c r="A25" s="19" t="s">
        <v>157</v>
      </c>
      <c r="B25" s="30">
        <f>$B$7+B24</f>
        <v>962.10416712328765</v>
      </c>
      <c r="C25" s="30">
        <f>$B$7+C24</f>
        <v>1043.2343989726028</v>
      </c>
      <c r="D25" s="30">
        <f>$B$7+D24</f>
        <v>1087.1935609209913</v>
      </c>
    </row>
    <row r="26" spans="1:4" x14ac:dyDescent="0.35">
      <c r="A26" s="28" t="s">
        <v>158</v>
      </c>
      <c r="B26" s="30">
        <f>B25-1000</f>
        <v>-37.895832876712348</v>
      </c>
      <c r="C26" s="30">
        <f>C25-1000</f>
        <v>43.234398972602776</v>
      </c>
      <c r="D26" s="30">
        <f>D25-1000</f>
        <v>87.193560920991331</v>
      </c>
    </row>
    <row r="27" spans="1:4" x14ac:dyDescent="0.35">
      <c r="A27" s="19" t="s">
        <v>159</v>
      </c>
      <c r="B27" s="31" t="str">
        <f>IF(B25&gt;=1000,"Yes","No")</f>
        <v>No</v>
      </c>
      <c r="C27" s="31" t="str">
        <f>IF(C25&gt;=1000,"Yes","No")</f>
        <v>Yes</v>
      </c>
      <c r="D27" s="31" t="str">
        <f>IF(D25&gt;=1000,"Yes","No")</f>
        <v>Yes</v>
      </c>
    </row>
    <row r="28" spans="1:4" x14ac:dyDescent="0.35">
      <c r="A28" s="28" t="s">
        <v>160</v>
      </c>
      <c r="B28" s="32">
        <f>$B$8/(B23*1000)</f>
        <v>6.0807278141532198E-3</v>
      </c>
      <c r="C28" s="32">
        <f>$B$8/(C23*1000)</f>
        <v>5.8458637239769311E-3</v>
      </c>
      <c r="D28" s="32">
        <f>$B$8/(D23*1000)</f>
        <v>5.7134566337348229E-3</v>
      </c>
    </row>
    <row r="30" spans="1:4" x14ac:dyDescent="0.35">
      <c r="A30" s="19" t="s">
        <v>161</v>
      </c>
    </row>
    <row r="31" spans="1:4" x14ac:dyDescent="0.35">
      <c r="A31" t="s">
        <v>162</v>
      </c>
      <c r="B31" s="20">
        <f>B7*(1+B15)</f>
        <v>856.43280365405371</v>
      </c>
    </row>
    <row r="33" spans="1:2" x14ac:dyDescent="0.35">
      <c r="A33" s="15" t="s">
        <v>163</v>
      </c>
    </row>
    <row r="34" spans="1:2" x14ac:dyDescent="0.35">
      <c r="A34" t="s">
        <v>164</v>
      </c>
      <c r="B34" s="33"/>
    </row>
    <row r="35" spans="1:2" x14ac:dyDescent="0.35">
      <c r="A35" t="s">
        <v>165</v>
      </c>
      <c r="B35" s="33"/>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99"/>
  <sheetViews>
    <sheetView workbookViewId="0"/>
  </sheetViews>
  <sheetFormatPr defaultRowHeight="14.5" x14ac:dyDescent="0.35"/>
  <cols>
    <col min="1" max="1" width="130" customWidth="1"/>
  </cols>
  <sheetData>
    <row r="1" spans="1:1" ht="18.5" x14ac:dyDescent="0.45">
      <c r="A1" s="18" t="s">
        <v>166</v>
      </c>
    </row>
    <row r="3" spans="1:1" x14ac:dyDescent="0.35">
      <c r="A3" s="19" t="s">
        <v>167</v>
      </c>
    </row>
    <row r="5" spans="1:1" x14ac:dyDescent="0.35">
      <c r="A5" t="s">
        <v>168</v>
      </c>
    </row>
    <row r="6" spans="1:1" x14ac:dyDescent="0.35">
      <c r="A6" t="s">
        <v>169</v>
      </c>
    </row>
    <row r="7" spans="1:1" x14ac:dyDescent="0.35">
      <c r="A7" t="s">
        <v>170</v>
      </c>
    </row>
    <row r="8" spans="1:1" x14ac:dyDescent="0.35">
      <c r="A8" t="s">
        <v>171</v>
      </c>
    </row>
    <row r="9" spans="1:1" x14ac:dyDescent="0.35">
      <c r="A9" t="s">
        <v>172</v>
      </c>
    </row>
    <row r="10" spans="1:1" x14ac:dyDescent="0.35">
      <c r="A10" t="s">
        <v>173</v>
      </c>
    </row>
    <row r="11" spans="1:1" x14ac:dyDescent="0.35">
      <c r="A11" t="s">
        <v>174</v>
      </c>
    </row>
    <row r="12" spans="1:1" x14ac:dyDescent="0.35">
      <c r="A12" t="s">
        <v>175</v>
      </c>
    </row>
    <row r="13" spans="1:1" x14ac:dyDescent="0.35">
      <c r="A13" t="s">
        <v>176</v>
      </c>
    </row>
    <row r="14" spans="1:1" x14ac:dyDescent="0.35">
      <c r="A14" t="s">
        <v>177</v>
      </c>
    </row>
    <row r="15" spans="1:1" x14ac:dyDescent="0.35">
      <c r="A15" t="s">
        <v>178</v>
      </c>
    </row>
    <row r="16" spans="1:1" x14ac:dyDescent="0.35">
      <c r="A16" t="s">
        <v>179</v>
      </c>
    </row>
    <row r="17" spans="1:1" x14ac:dyDescent="0.35">
      <c r="A17" t="s">
        <v>180</v>
      </c>
    </row>
    <row r="18" spans="1:1" x14ac:dyDescent="0.35">
      <c r="A18" t="s">
        <v>181</v>
      </c>
    </row>
    <row r="19" spans="1:1" x14ac:dyDescent="0.35">
      <c r="A19" t="s">
        <v>182</v>
      </c>
    </row>
    <row r="20" spans="1:1" x14ac:dyDescent="0.35">
      <c r="A20" t="s">
        <v>183</v>
      </c>
    </row>
    <row r="21" spans="1:1" x14ac:dyDescent="0.35">
      <c r="A21" t="s">
        <v>184</v>
      </c>
    </row>
    <row r="22" spans="1:1" x14ac:dyDescent="0.35">
      <c r="A22" t="s">
        <v>185</v>
      </c>
    </row>
    <row r="23" spans="1:1" x14ac:dyDescent="0.35">
      <c r="A23" t="s">
        <v>186</v>
      </c>
    </row>
    <row r="24" spans="1:1" x14ac:dyDescent="0.35">
      <c r="A24" t="s">
        <v>187</v>
      </c>
    </row>
    <row r="25" spans="1:1" x14ac:dyDescent="0.35">
      <c r="A25" t="s">
        <v>188</v>
      </c>
    </row>
    <row r="26" spans="1:1" x14ac:dyDescent="0.35">
      <c r="A26" t="s">
        <v>189</v>
      </c>
    </row>
    <row r="27" spans="1:1" x14ac:dyDescent="0.35">
      <c r="A27" t="s">
        <v>190</v>
      </c>
    </row>
    <row r="28" spans="1:1" x14ac:dyDescent="0.35">
      <c r="A28" t="s">
        <v>191</v>
      </c>
    </row>
    <row r="29" spans="1:1" x14ac:dyDescent="0.35">
      <c r="A29" t="s">
        <v>192</v>
      </c>
    </row>
    <row r="30" spans="1:1" x14ac:dyDescent="0.35">
      <c r="A30" t="s">
        <v>193</v>
      </c>
    </row>
    <row r="31" spans="1:1" x14ac:dyDescent="0.35">
      <c r="A31" t="s">
        <v>194</v>
      </c>
    </row>
    <row r="32" spans="1:1" x14ac:dyDescent="0.35">
      <c r="A32" t="s">
        <v>195</v>
      </c>
    </row>
    <row r="33" spans="1:1" x14ac:dyDescent="0.35">
      <c r="A33" t="s">
        <v>196</v>
      </c>
    </row>
    <row r="34" spans="1:1" x14ac:dyDescent="0.35">
      <c r="A34" t="s">
        <v>197</v>
      </c>
    </row>
    <row r="35" spans="1:1" x14ac:dyDescent="0.35">
      <c r="A35" t="s">
        <v>198</v>
      </c>
    </row>
    <row r="36" spans="1:1" x14ac:dyDescent="0.35">
      <c r="A36" t="s">
        <v>199</v>
      </c>
    </row>
    <row r="37" spans="1:1" x14ac:dyDescent="0.35">
      <c r="A37" t="s">
        <v>200</v>
      </c>
    </row>
    <row r="38" spans="1:1" x14ac:dyDescent="0.35">
      <c r="A38" t="s">
        <v>201</v>
      </c>
    </row>
    <row r="39" spans="1:1" x14ac:dyDescent="0.35">
      <c r="A39" t="s">
        <v>202</v>
      </c>
    </row>
    <row r="40" spans="1:1" x14ac:dyDescent="0.35">
      <c r="A40" t="s">
        <v>203</v>
      </c>
    </row>
    <row r="41" spans="1:1" x14ac:dyDescent="0.35">
      <c r="A41" t="s">
        <v>204</v>
      </c>
    </row>
    <row r="42" spans="1:1" x14ac:dyDescent="0.35">
      <c r="A42" t="s">
        <v>205</v>
      </c>
    </row>
    <row r="43" spans="1:1" x14ac:dyDescent="0.35">
      <c r="A43" t="s">
        <v>206</v>
      </c>
    </row>
    <row r="44" spans="1:1" x14ac:dyDescent="0.35">
      <c r="A44" t="s">
        <v>207</v>
      </c>
    </row>
    <row r="45" spans="1:1" x14ac:dyDescent="0.35">
      <c r="A45" t="s">
        <v>208</v>
      </c>
    </row>
    <row r="46" spans="1:1" x14ac:dyDescent="0.35">
      <c r="A46" t="s">
        <v>209</v>
      </c>
    </row>
    <row r="47" spans="1:1" x14ac:dyDescent="0.35">
      <c r="A47" t="s">
        <v>210</v>
      </c>
    </row>
    <row r="48" spans="1:1" x14ac:dyDescent="0.35">
      <c r="A48" t="s">
        <v>211</v>
      </c>
    </row>
    <row r="49" spans="1:1" x14ac:dyDescent="0.35">
      <c r="A49" t="s">
        <v>212</v>
      </c>
    </row>
    <row r="50" spans="1:1" x14ac:dyDescent="0.35">
      <c r="A50" t="s">
        <v>213</v>
      </c>
    </row>
    <row r="51" spans="1:1" x14ac:dyDescent="0.35">
      <c r="A51" t="s">
        <v>214</v>
      </c>
    </row>
    <row r="52" spans="1:1" x14ac:dyDescent="0.35">
      <c r="A52" t="s">
        <v>215</v>
      </c>
    </row>
    <row r="54" spans="1:1" x14ac:dyDescent="0.35">
      <c r="A54" t="s">
        <v>216</v>
      </c>
    </row>
    <row r="56" spans="1:1" x14ac:dyDescent="0.35">
      <c r="A56" s="19" t="s">
        <v>217</v>
      </c>
    </row>
    <row r="58" spans="1:1" x14ac:dyDescent="0.35">
      <c r="A58" t="s">
        <v>218</v>
      </c>
    </row>
    <row r="59" spans="1:1" x14ac:dyDescent="0.35">
      <c r="A59" t="s">
        <v>219</v>
      </c>
    </row>
    <row r="60" spans="1:1" x14ac:dyDescent="0.35">
      <c r="A60" t="s">
        <v>220</v>
      </c>
    </row>
    <row r="61" spans="1:1" x14ac:dyDescent="0.35">
      <c r="A61" t="s">
        <v>221</v>
      </c>
    </row>
    <row r="62" spans="1:1" x14ac:dyDescent="0.35">
      <c r="A62" t="s">
        <v>222</v>
      </c>
    </row>
    <row r="63" spans="1:1" x14ac:dyDescent="0.35">
      <c r="A63" t="s">
        <v>223</v>
      </c>
    </row>
    <row r="65" spans="1:1" x14ac:dyDescent="0.35">
      <c r="A65" t="s">
        <v>224</v>
      </c>
    </row>
    <row r="67" spans="1:1" x14ac:dyDescent="0.35">
      <c r="A67" s="19" t="s">
        <v>225</v>
      </c>
    </row>
    <row r="69" spans="1:1" x14ac:dyDescent="0.35">
      <c r="A69" t="s">
        <v>226</v>
      </c>
    </row>
    <row r="70" spans="1:1" x14ac:dyDescent="0.35">
      <c r="A70" t="s">
        <v>219</v>
      </c>
    </row>
    <row r="71" spans="1:1" x14ac:dyDescent="0.35">
      <c r="A71" t="s">
        <v>227</v>
      </c>
    </row>
    <row r="72" spans="1:1" x14ac:dyDescent="0.35">
      <c r="A72" t="s">
        <v>228</v>
      </c>
    </row>
    <row r="73" spans="1:1" x14ac:dyDescent="0.35">
      <c r="A73" t="s">
        <v>229</v>
      </c>
    </row>
    <row r="74" spans="1:1" x14ac:dyDescent="0.35">
      <c r="A74" t="s">
        <v>230</v>
      </c>
    </row>
    <row r="75" spans="1:1" x14ac:dyDescent="0.35">
      <c r="A75" t="s">
        <v>231</v>
      </c>
    </row>
    <row r="76" spans="1:1" x14ac:dyDescent="0.35">
      <c r="A76" t="s">
        <v>232</v>
      </c>
    </row>
    <row r="77" spans="1:1" x14ac:dyDescent="0.35">
      <c r="A77" t="s">
        <v>233</v>
      </c>
    </row>
    <row r="78" spans="1:1" x14ac:dyDescent="0.35">
      <c r="A78" t="s">
        <v>234</v>
      </c>
    </row>
    <row r="79" spans="1:1" x14ac:dyDescent="0.35">
      <c r="A79" t="s">
        <v>235</v>
      </c>
    </row>
    <row r="80" spans="1:1" x14ac:dyDescent="0.35">
      <c r="A80" t="s">
        <v>236</v>
      </c>
    </row>
    <row r="81" spans="1:1" x14ac:dyDescent="0.35">
      <c r="A81" t="s">
        <v>237</v>
      </c>
    </row>
    <row r="82" spans="1:1" x14ac:dyDescent="0.35">
      <c r="A82" t="s">
        <v>238</v>
      </c>
    </row>
    <row r="83" spans="1:1" x14ac:dyDescent="0.35">
      <c r="A83" t="s">
        <v>239</v>
      </c>
    </row>
    <row r="84" spans="1:1" x14ac:dyDescent="0.35">
      <c r="A84" t="s">
        <v>240</v>
      </c>
    </row>
    <row r="86" spans="1:1" x14ac:dyDescent="0.35">
      <c r="A86" t="s">
        <v>241</v>
      </c>
    </row>
    <row r="88" spans="1:1" x14ac:dyDescent="0.35">
      <c r="A88" s="19" t="s">
        <v>242</v>
      </c>
    </row>
    <row r="90" spans="1:1" x14ac:dyDescent="0.35">
      <c r="A90" t="s">
        <v>243</v>
      </c>
    </row>
    <row r="91" spans="1:1" x14ac:dyDescent="0.35">
      <c r="A91" t="s">
        <v>244</v>
      </c>
    </row>
    <row r="92" spans="1:1" x14ac:dyDescent="0.35">
      <c r="A92" t="s">
        <v>245</v>
      </c>
    </row>
    <row r="93" spans="1:1" x14ac:dyDescent="0.35">
      <c r="A93" t="s">
        <v>246</v>
      </c>
    </row>
    <row r="94" spans="1:1" x14ac:dyDescent="0.35">
      <c r="A94" t="s">
        <v>247</v>
      </c>
    </row>
    <row r="95" spans="1:1" x14ac:dyDescent="0.35">
      <c r="A95" t="s">
        <v>248</v>
      </c>
    </row>
    <row r="96" spans="1:1" x14ac:dyDescent="0.35">
      <c r="A96" t="s">
        <v>249</v>
      </c>
    </row>
    <row r="97" spans="1:1" x14ac:dyDescent="0.35">
      <c r="A97" t="s">
        <v>250</v>
      </c>
    </row>
    <row r="99" spans="1:1" x14ac:dyDescent="0.35">
      <c r="A99" s="19" t="s">
        <v>251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Data</vt:lpstr>
      <vt:lpstr>Shopee_Metrics</vt:lpstr>
      <vt:lpstr>Growth_Drivers</vt:lpstr>
      <vt:lpstr>Monee</vt:lpstr>
      <vt:lpstr>Target_2026</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Emelio Exaudi</cp:lastModifiedBy>
  <dcterms:created xsi:type="dcterms:W3CDTF">2026-10-15T11:29:05Z</dcterms:created>
  <dcterms:modified xsi:type="dcterms:W3CDTF">2026-10-15T11:29:18Z</dcterms:modified>
</cp:coreProperties>
</file>